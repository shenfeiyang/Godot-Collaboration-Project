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80" windowHeight="12375" activeTab="5"/>
  </bookViews>
  <sheets>
    <sheet name="技能表说明" sheetId="1" r:id="rId1"/>
    <sheet name="skill" sheetId="2" r:id="rId2"/>
    <sheet name="skillArt" sheetId="3" r:id="rId3"/>
    <sheet name="skillParam" sheetId="4" r:id="rId4"/>
    <sheet name="skillTrig" sheetId="5" r:id="rId5"/>
    <sheet name="skillBuff" sheetId="6" r:id="rId6"/>
    <sheet name="skillPas" sheetId="7" r:id="rId7"/>
    <sheet name="参数备注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dust</author>
  </authors>
  <commentList>
    <comment ref="K2" authorId="0">
      <text>
        <r>
          <rPr>
            <b/>
            <sz val="9"/>
            <rFont val="宋体"/>
            <charset val="134"/>
          </rPr>
          <t xml:space="preserve">201=按攻击方攻击百分比
202=按当前生命百分比
203=按最大生命百分比
204=按攻击方攻击百分比
</t>
        </r>
        <r>
          <rPr>
            <sz val="9"/>
            <rFont val="宋体"/>
            <charset val="134"/>
          </rPr>
          <t>301=按最大生命回血
302=按攻击百分比回血
303=按绝对值回血
401=无法攻击无法移动无法释放技能
402=击退，配置击退参数，默认0.3|120
403=无法攻击无法移动无法释放技能
404=无法回血
405=移速攻速降低90%
406=受到的伤害增加，乘法，百分比
407=免疫401、402、403和405
408=免疫type1为2的buf效果
409=免疫指定的dot类型，需要配置指定dot类型
410=免疫指定的控制状态类型，需要配置指定的状态类型
411=免疫402和技能附带的击退（skill表repel字段）
602=按次数免疫，每受到一次伤害扣除1次免疫次数</t>
        </r>
      </text>
    </comment>
  </commentList>
</comments>
</file>

<file path=xl/sharedStrings.xml><?xml version="1.0" encoding="utf-8"?>
<sst xmlns="http://schemas.openxmlformats.org/spreadsheetml/2006/main" count="710" uniqueCount="431">
  <si>
    <t>技能表总览</t>
  </si>
  <si>
    <t>本文件定义SDC项目的完整技能系统，包含以下子表：</t>
  </si>
  <si>
    <t/>
  </si>
  <si>
    <t>Sheet名称</t>
  </si>
  <si>
    <t>作用</t>
  </si>
  <si>
    <t>技能主表</t>
  </si>
  <si>
    <t>定义技能身份和引用关系，不承载复杂行为细节</t>
  </si>
  <si>
    <t>技能美术表现包</t>
  </si>
  <si>
    <t>定义技能的图标、特效、音效资源键值</t>
  </si>
  <si>
    <t>技能基础参数包</t>
  </si>
  <si>
    <t>定义技能基础行为参数（CD/射程/弹速/消耗等）</t>
  </si>
  <si>
    <t>技能触发包</t>
  </si>
  <si>
    <t>定义技能的额外派生触发规则（命中/击杀/结束等事件）</t>
  </si>
  <si>
    <t>技能BUFF包</t>
  </si>
  <si>
    <t>定义技能附加的异常/易伤/点燃等状态规则</t>
  </si>
  <si>
    <t>被动效果表</t>
  </si>
  <si>
    <t>定义装备/天赋/肉鸽词条的被动效果（独立体系）</t>
  </si>
  <si>
    <t>子技能表</t>
  </si>
  <si>
    <t>定义触发包引用的派生子技能</t>
  </si>
  <si>
    <t>枚举字典表</t>
  </si>
  <si>
    <t>全表枚举值的中英文对照字典，供程序映射和策划查阅</t>
  </si>
  <si>
    <t>填表规则</t>
  </si>
  <si>
    <t>1. ID命名规范</t>
  </si>
  <si>
    <t>各表ID前缀约定：技能=skill_，参数包=param_，触发包=trigger_，BUFF包=buff_，被动=passive_，子技能=skill_A_，美术包=art_</t>
  </si>
  <si>
    <t>2. 空值约定</t>
  </si>
  <si>
    <t>触发包/BUFF包无内容时填对应_none条目（如trigger_none），不可留空</t>
  </si>
  <si>
    <t>3. 标签分隔</t>
  </si>
  <si>
    <t>多标签用 | 分隔，如：弹道|单射|暴击核心</t>
  </si>
  <si>
    <t>4. 万分比</t>
  </si>
  <si>
    <t>概率和加成百分比统一使用万分比，如15%=1500</t>
  </si>
  <si>
    <t>5. 大类必填规则</t>
  </si>
  <si>
    <t>弹道类必填：子弹数量/子弹速度/作用范围；链类必填：碰撞跳链上限/伤害间隔；爆炸类必填：持续时间/击退配置/作用范围；光束类必填：持续时间/伤害间隔</t>
  </si>
  <si>
    <t>6. 被动触发条件</t>
  </si>
  <si>
    <t>使用表达式写法，如 HP&lt;30%、命中次数&gt;=10、目标拥有Buff=感电</t>
  </si>
  <si>
    <t>7. 程序映射</t>
  </si>
  <si>
    <t>所有枚举值已中文化，程序需通过枚举字典表做英文映射，或直接使用中文枚举</t>
  </si>
  <si>
    <t>表名</t>
  </si>
  <si>
    <t>表格描述</t>
  </si>
  <si>
    <t>用于定义技能身份。策划先在这里建立技能条目，再通过参数包、触发包、buff 包把技能拼完整。主表不负责承载复杂行为细节。</t>
  </si>
  <si>
    <t>技能唯一ID；整张技能系统的主键，不可重复。</t>
  </si>
  <si>
    <t>主技能：MainSk
子技能：SubSk</t>
  </si>
  <si>
    <t>玩家：Player
怪物：Monster
召唤物：Summon</t>
  </si>
  <si>
    <t>技能中文名称；给策划、数值和展示用。</t>
  </si>
  <si>
    <t>技能中文描述；用于解释技能设计意图或展示文案。</t>
  </si>
  <si>
    <t>近战攻击：Melee
弹道类：Projectile
投掷类：Throw
激光：Laser
链类：Chain
范围：Area
召唤：Summon</t>
  </si>
  <si>
    <t>不填，无子标签
原地近战：Melee_Stand
冲刺近战：Melee_Dash
直线弹道类：Proj_Lin
追踪弹道类：Proj_Trk
投掷类：
持续激光：Laser_Dur
瞬时激光：Laser_Inst
持续链类：Chain_Dur
瞬时链类：Chain_Inst
范围瞬时：Area_Inst
范围持续：Area_Dur
召唤</t>
  </si>
  <si>
    <t>伤害类型；填写程序枚举值，中文请查 skill_enum。</t>
  </si>
  <si>
    <t>参数包ID；关联 skill_param。</t>
  </si>
  <si>
    <t>触发包ID；关联 skill_trigger，没有可填 trigger_none。</t>
  </si>
  <si>
    <t>buff包ID；关联 skill_buff，不填没有。</t>
  </si>
  <si>
    <t>备注；写设计提醒、特殊约束或后续注意点。</t>
  </si>
  <si>
    <t>技能ID</t>
  </si>
  <si>
    <t>技能层级</t>
  </si>
  <si>
    <t>释放单位</t>
  </si>
  <si>
    <t>技能名称</t>
  </si>
  <si>
    <t>技能描述</t>
  </si>
  <si>
    <t>技能主标签</t>
  </si>
  <si>
    <t>技能子标签</t>
  </si>
  <si>
    <t>伤害标签</t>
  </si>
  <si>
    <t>技能基础参数包ID</t>
  </si>
  <si>
    <t>触发包ID</t>
  </si>
  <si>
    <t>Buff包ID</t>
  </si>
  <si>
    <t>备注</t>
  </si>
  <si>
    <t>skillId</t>
  </si>
  <si>
    <t>tier</t>
  </si>
  <si>
    <t>caster</t>
  </si>
  <si>
    <t>name</t>
  </si>
  <si>
    <t>desc</t>
  </si>
  <si>
    <t>mainTag</t>
  </si>
  <si>
    <t>subTag</t>
  </si>
  <si>
    <t>DmgTag</t>
  </si>
  <si>
    <t>sound</t>
  </si>
  <si>
    <t>paramPackId</t>
  </si>
  <si>
    <t>triggerPackId</t>
  </si>
  <si>
    <t>buffPackId</t>
  </si>
  <si>
    <t>remark</t>
  </si>
  <si>
    <t>string</t>
  </si>
  <si>
    <t>skill_001</t>
  </si>
  <si>
    <t>MainSk</t>
  </si>
  <si>
    <t>Player</t>
  </si>
  <si>
    <t>初始枪械</t>
  </si>
  <si>
    <t>玩家初始攻击方式，发射一枚普通子弹。</t>
  </si>
  <si>
    <t>Projectile</t>
  </si>
  <si>
    <t>Proj_Lin</t>
  </si>
  <si>
    <t>直线弹道</t>
  </si>
  <si>
    <t>Phys</t>
  </si>
  <si>
    <t>skill_002</t>
  </si>
  <si>
    <t>手枪</t>
  </si>
  <si>
    <t>快速发射子弹，攻速优于初始枪械，单体伤害稳定，适合近距离持续输出。</t>
  </si>
  <si>
    <t>skill_003</t>
  </si>
  <si>
    <t>机关枪</t>
  </si>
  <si>
    <t>高密度连射，短时间倾泻大量弹药，对群体怪物造成持续压制伤害。</t>
  </si>
  <si>
    <t>skill_004</t>
  </si>
  <si>
    <t>火箭炮</t>
  </si>
  <si>
    <t>发射爆破弹药，命中后产生大范围爆炸，对区域内敌人造成高额爆破伤害。</t>
  </si>
  <si>
    <t>Proj_Trk</t>
  </si>
  <si>
    <t>追踪弹道</t>
  </si>
  <si>
    <t>skill_005</t>
  </si>
  <si>
    <t>火焰手雷</t>
  </si>
  <si>
    <t>投掷后触发爆燃，燃起火焰区域，持续灼烧范围内敌人并造成燃烧伤害。</t>
  </si>
  <si>
    <t>Throw</t>
  </si>
  <si>
    <t>投掷类</t>
  </si>
  <si>
    <t>skill_006</t>
  </si>
  <si>
    <t>霜冻手雷</t>
  </si>
  <si>
    <t>投掷后释放极寒能量，冻结区域地面，对敌人造成冰伤并大幅减缓移动速度。</t>
  </si>
  <si>
    <t>skill_007</t>
  </si>
  <si>
    <t>激光炮</t>
  </si>
  <si>
    <t>发射高能激光束，穿透敌方躯体，可同时打击直线上多个目标，能量伤害可观。</t>
  </si>
  <si>
    <t>Laser</t>
  </si>
  <si>
    <t>Laser_Inst</t>
  </si>
  <si>
    <t>瞬时激光</t>
  </si>
  <si>
    <t>Ele</t>
  </si>
  <si>
    <t>skill_008</t>
  </si>
  <si>
    <t>蓄能激光炮</t>
  </si>
  <si>
    <t>短暂蓄力后释放强化持续激光，光束威力、射程大幅提升，对单体强敌造成巨额伤害。</t>
  </si>
  <si>
    <t>Laser_Dur</t>
  </si>
  <si>
    <t>持续激光</t>
  </si>
  <si>
    <t>skill_009</t>
  </si>
  <si>
    <t>闪电链</t>
  </si>
  <si>
    <t>释放连锁闪电，电击首个目标后自动跳跃至周边敌人，可同时打击多个相邻单位。</t>
  </si>
  <si>
    <t>Chain</t>
  </si>
  <si>
    <t>Chain_Inst</t>
  </si>
  <si>
    <t>瞬时链类</t>
  </si>
  <si>
    <t>skill_010</t>
  </si>
  <si>
    <t>蓄能闪电链</t>
  </si>
  <si>
    <t>蓄力强化持续电能，闪电跳跃次数、伤害全面提升，大范围群体电击压制集群怪物。</t>
  </si>
  <si>
    <t>Chain_Dur</t>
  </si>
  <si>
    <t>持续链类</t>
  </si>
  <si>
    <t>skill_004_A</t>
  </si>
  <si>
    <t>SubSk</t>
  </si>
  <si>
    <t>火箭炮_爆炸</t>
  </si>
  <si>
    <t>火箭炮命中触发爆破，扩大伤害范围，对周边敌人追加震荡与额外伤害。</t>
  </si>
  <si>
    <t>Area</t>
  </si>
  <si>
    <t>Area_Inst</t>
  </si>
  <si>
    <t>瞬时范围</t>
  </si>
  <si>
    <t>skill_005_A</t>
  </si>
  <si>
    <t>手雷_爆炸</t>
  </si>
  <si>
    <t>手雷引爆产生冲击波，对范围内敌人造成溅射伤害。</t>
  </si>
  <si>
    <t>skill_006_A</t>
  </si>
  <si>
    <t>减速地块</t>
  </si>
  <si>
    <t>布置特殊场地区域，踏入区域的敌人移速、攻速降低，限制怪物推进节奏。</t>
  </si>
  <si>
    <t>Area_Dur</t>
  </si>
  <si>
    <t>持续范围</t>
  </si>
  <si>
    <t>skill_1001</t>
  </si>
  <si>
    <t>Monster</t>
  </si>
  <si>
    <t>普攻</t>
  </si>
  <si>
    <t>基础近身 / 远程攻击，无额外特效，造成常规基础伤害。</t>
  </si>
  <si>
    <t>Melee</t>
  </si>
  <si>
    <t>Melee_Stand</t>
  </si>
  <si>
    <t>原地近战</t>
  </si>
  <si>
    <t>技能表现包</t>
  </si>
  <si>
    <t>用于定义技能的视觉与听觉表现资源。程序通过图标、特效、音效键值加载对应资源。一个美术包可被多个技能复用。</t>
  </si>
  <si>
    <t>美术包唯一ID；供技能主表引用。</t>
  </si>
  <si>
    <t>关联技能ID；可选，标注此美术包最初服务的技能。</t>
  </si>
  <si>
    <t>图标资源名；程序或表现读取的图标键值。</t>
  </si>
  <si>
    <t>特效资源名；程序或表现读取的特效键值。</t>
  </si>
  <si>
    <t>音效资源名；程序或表现读取的音效键值。</t>
  </si>
  <si>
    <t>美术包ID</t>
  </si>
  <si>
    <t>关联技能ID</t>
  </si>
  <si>
    <t>图标</t>
  </si>
  <si>
    <t>特效</t>
  </si>
  <si>
    <t>音效</t>
  </si>
  <si>
    <t>artPackId</t>
  </si>
  <si>
    <t>icon</t>
  </si>
  <si>
    <t>effect</t>
  </si>
  <si>
    <t>skArt_skill_001</t>
  </si>
  <si>
    <t>skArt_skill_002</t>
  </si>
  <si>
    <t>skArt_skill_003</t>
  </si>
  <si>
    <t>skArt_skill_004</t>
  </si>
  <si>
    <t>skArt_skill_005</t>
  </si>
  <si>
    <t>skArt_skill_006</t>
  </si>
  <si>
    <t>skArt_skill_007</t>
  </si>
  <si>
    <t>skArt_skill_008</t>
  </si>
  <si>
    <t>skArt_skill_009</t>
  </si>
  <si>
    <t>skArt_skill_010</t>
  </si>
  <si>
    <t>skArt_skill_004_A</t>
  </si>
  <si>
    <t>skArt_skill_005_A</t>
  </si>
  <si>
    <t>skArt_skill_006_A</t>
  </si>
  <si>
    <t>skArt_skill_1001</t>
  </si>
  <si>
    <t>本表作用</t>
  </si>
  <si>
    <t>参数包唯一ID；供 skill_main 引用。</t>
  </si>
  <si>
    <t>重复字段，策划配置注释使用</t>
  </si>
  <si>
    <t>万分比</t>
  </si>
  <si>
    <t>技能释放间隔/冷却；单位毫秒。</t>
  </si>
  <si>
    <t>索敌/攻击范围</t>
  </si>
  <si>
    <t>最近单位：NearU
血量最高单位
：MaxHpU
玩家：Player</t>
  </si>
  <si>
    <t>技能连发时，是否优先选择不同目标：
默认0，优先选择不同目标。
1，选择同一目标。</t>
  </si>
  <si>
    <t>万分比，默认值：10000</t>
  </si>
  <si>
    <t>（默认）全区域：0
仅对地：1
仅对空：2</t>
  </si>
  <si>
    <t>一次释放生成的子弹数量。</t>
  </si>
  <si>
    <t>一轮攻击内的打击波次/连发次数。</t>
  </si>
  <si>
    <t>子弹速度；即时射线通常填 0。</t>
  </si>
  <si>
    <t>默认：1
穿透怪物的数。
闪电链链接单位。</t>
  </si>
  <si>
    <t>技能或子弹持续时间；单位毫秒。</t>
  </si>
  <si>
    <t>①（默认）持续时间结束前：0
②持续时间结束后：1</t>
  </si>
  <si>
    <t>击退配置；写法为 怪物重量阈值|击退距离。</t>
  </si>
  <si>
    <t>伤害次数达到此值，技能结束。
不配置则为不限制次数。</t>
  </si>
  <si>
    <t>对同一单位再次造成伤害的时间间隔；单位毫秒。
不配置为对同一单位，仅造成1次伤害。</t>
  </si>
  <si>
    <t>C</t>
  </si>
  <si>
    <t>参数包ID</t>
  </si>
  <si>
    <t>备注-技能主标签</t>
  </si>
  <si>
    <t>备注-技能子标签</t>
  </si>
  <si>
    <t>伤害倍率</t>
  </si>
  <si>
    <t>冷却/间隔(毫秒)</t>
  </si>
  <si>
    <t>索敌范围</t>
  </si>
  <si>
    <t>索敌目标</t>
  </si>
  <si>
    <t>缩放比例(万分比)</t>
  </si>
  <si>
    <t>覆盖空间</t>
  </si>
  <si>
    <t>子弹&amp;技能数量</t>
  </si>
  <si>
    <t>攻击波次</t>
  </si>
  <si>
    <t>子弹速度</t>
  </si>
  <si>
    <t>穿透</t>
  </si>
  <si>
    <t>持续时间(毫秒)</t>
  </si>
  <si>
    <t>冷却计时时间</t>
  </si>
  <si>
    <t>击退配置</t>
  </si>
  <si>
    <t>伤害次数</t>
  </si>
  <si>
    <t>伤害间隔(毫秒)</t>
  </si>
  <si>
    <t>dmgRate</t>
  </si>
  <si>
    <t>cd</t>
  </si>
  <si>
    <t>seekRange</t>
  </si>
  <si>
    <t>targetSearch</t>
  </si>
  <si>
    <t>scale</t>
  </si>
  <si>
    <t>space</t>
  </si>
  <si>
    <t>bulletNum</t>
  </si>
  <si>
    <t>atkNum</t>
  </si>
  <si>
    <t>bulletSpeed</t>
  </si>
  <si>
    <t>pierc</t>
  </si>
  <si>
    <t>durationMS</t>
  </si>
  <si>
    <t>cdOpen</t>
  </si>
  <si>
    <t>repel</t>
  </si>
  <si>
    <t>impactCount</t>
  </si>
  <si>
    <t>impactIntervalMS</t>
  </si>
  <si>
    <t>int</t>
  </si>
  <si>
    <t>skPar_skill_001</t>
  </si>
  <si>
    <t>弹道类</t>
  </si>
  <si>
    <t>NearU</t>
  </si>
  <si>
    <t>skPar_skill_002</t>
  </si>
  <si>
    <t>skPar_skill_003</t>
  </si>
  <si>
    <t>skPar_skill_004</t>
  </si>
  <si>
    <t>skPar_skill_005</t>
  </si>
  <si>
    <t>skPar_skill_006</t>
  </si>
  <si>
    <t>skPar_skill_007</t>
  </si>
  <si>
    <t>激光</t>
  </si>
  <si>
    <t>5|100</t>
  </si>
  <si>
    <t>skPar_skill_008</t>
  </si>
  <si>
    <t>5|20</t>
  </si>
  <si>
    <t>skPar_skill_009</t>
  </si>
  <si>
    <t>链类</t>
  </si>
  <si>
    <t>skPar_skill_010</t>
  </si>
  <si>
    <t>skPar_skill_004_A</t>
  </si>
  <si>
    <t>范围</t>
  </si>
  <si>
    <t>skPar_skill_005_A</t>
  </si>
  <si>
    <t>skPar_skill_006_A</t>
  </si>
  <si>
    <t>skPar_skill_1001</t>
  </si>
  <si>
    <t>近战</t>
  </si>
  <si>
    <t>技能触发表：用于定义额外派生技能。一个触发包可配置多条触发规则，程序应按 order 升序执行。</t>
  </si>
  <si>
    <t>策划备注使用</t>
  </si>
  <si>
    <t>触发包唯一ID；供 skill_main 引用。</t>
  </si>
  <si>
    <t>执行顺序；同一触发包内按从小到大执行。</t>
  </si>
  <si>
    <t>命中触发：Trig_Hit
暴击触发：Trig_Crit
死亡触发：Trig_ Kill</t>
  </si>
  <si>
    <t>默认次数：1
配置则需要累计到次数后触发。
如：配置15，命中15次触发。</t>
  </si>
  <si>
    <t>被触发的技能ID；通常是子技能或派生效果技能。</t>
  </si>
  <si>
    <t>触发延迟时间；单位毫秒。
不填就是无延迟。</t>
  </si>
  <si>
    <t>默认值：不限次数。
配置：限制次数。</t>
  </si>
  <si>
    <t>唯一ID</t>
  </si>
  <si>
    <t>顺序</t>
  </si>
  <si>
    <t>触发事件</t>
  </si>
  <si>
    <t>触发参数01</t>
  </si>
  <si>
    <t>触发技能ID</t>
  </si>
  <si>
    <t>触发延迟(毫秒)</t>
  </si>
  <si>
    <t>最大触发次数</t>
  </si>
  <si>
    <t>id</t>
  </si>
  <si>
    <t>order</t>
  </si>
  <si>
    <t>triggerEvent</t>
  </si>
  <si>
    <t>trigPar01</t>
  </si>
  <si>
    <t>triggerSkillId</t>
  </si>
  <si>
    <t>triggerDelayMS</t>
  </si>
  <si>
    <t>maxTriggerCount</t>
  </si>
  <si>
    <t>enum</t>
  </si>
  <si>
    <t>Trig01</t>
  </si>
  <si>
    <t>skTrig_skill_004</t>
  </si>
  <si>
    <t>Trig_Hit</t>
  </si>
  <si>
    <t>Trig02</t>
  </si>
  <si>
    <t>skTrig_skill_005</t>
  </si>
  <si>
    <t>Trig03</t>
  </si>
  <si>
    <t>skTrig_skill_006</t>
  </si>
  <si>
    <t>技能附带Buff表：用于定义技能附加的异常、易伤、点燃等状态规则。一个 buff 包可配置多条规则，程序应按 order 升序处理。</t>
  </si>
  <si>
    <t>buff包唯一ID；供 skill_main 引用。</t>
  </si>
  <si>
    <t>执行顺序；同一 buff 包内按从小到大执行。</t>
  </si>
  <si>
    <t>命中施加：Apply_Hit
暴击施加：Apply_Crit</t>
  </si>
  <si>
    <t>施加概率；当前统一使用万分比。</t>
  </si>
  <si>
    <t>叠层值；命中一次叠几层或加多少值。</t>
  </si>
  <si>
    <t>持续时间；单位毫秒。</t>
  </si>
  <si>
    <t>BUFF分类
1、属性变化(生命直接加减)
2、Dot类（秒计算）
3、Hot类（秒计算）
4、状态buff
5、光环类
6、护盾类</t>
  </si>
  <si>
    <t>Dot类 201=燃烧伤害 202=灼烧 203=毒伤 204=冻伤
Hot类 301=回春 302=治愈 303=疗愈 
状态类 401=眩晕 402=击退 403=冰冻 404=禁疗 405=麻痹 406=易伤 407=免疫控制效果，408=免疫负面效果 409=免疫指定dot 410=免疫指定控制状态 411=免疫击退 412=减速
护盾 601=最大血量护盾 602=免疫次数护盾
驱散 701=驱散减益 702=驱散增益 703=驱散护盾 
偷取 801=偷取属性 802=偷取随机增益buff</t>
  </si>
  <si>
    <t xml:space="preserve">变化的属性名称
HP=生命 Atk=攻击 Def=防御 AS=攻速
HPMax=最大生命 Crit=暴击率
CritD=暴击伤害
Di=增伤 Dr=减伤
moveSpeed=移动速度
ADS=物理伤害 winDs=风系伤害
IceDs=冰系伤害
FireDs=火系伤害
EneDs=能量伤害
EleDs=电系伤害
GunDs=枪械伤害
RobDs=机器人伤害
物理攻击=AD 
风系攻击=winD 
冰系攻击=IceD 
火系攻击=FireD 
能量攻击=EneD 
电系攻击=EleD 
枪械攻击=GunD 
机器人攻击=RobD
</t>
  </si>
  <si>
    <r>
      <rPr>
        <sz val="12"/>
        <color theme="1"/>
        <rFont val="宋体"/>
        <charset val="134"/>
        <scheme val="minor"/>
      </rPr>
      <t xml:space="preserve">运算方式
</t>
    </r>
    <r>
      <rPr>
        <sz val="10"/>
        <color theme="1"/>
        <rFont val="宋体"/>
        <charset val="134"/>
        <scheme val="minor"/>
      </rPr>
      <t>1=百分比
2=绝对值</t>
    </r>
  </si>
  <si>
    <r>
      <rPr>
        <sz val="12"/>
        <color theme="1"/>
        <rFont val="宋体"/>
        <charset val="134"/>
        <scheme val="minor"/>
      </rPr>
      <t xml:space="preserve">参数1取值
</t>
    </r>
    <r>
      <rPr>
        <sz val="9"/>
        <color theme="1"/>
        <rFont val="宋体"/>
        <charset val="134"/>
        <scheme val="minor"/>
      </rPr>
      <t xml:space="preserve">百分比需要除以10000
</t>
    </r>
  </si>
  <si>
    <t>buff名称</t>
  </si>
  <si>
    <t>施加单位</t>
  </si>
  <si>
    <t>施加概率(万分比)</t>
  </si>
  <si>
    <t>叠层值</t>
  </si>
  <si>
    <t>buff分类</t>
  </si>
  <si>
    <t>状态效果</t>
  </si>
  <si>
    <t>属性名称</t>
  </si>
  <si>
    <t>运算方式</t>
  </si>
  <si>
    <t>参数取值</t>
  </si>
  <si>
    <t>buffName</t>
  </si>
  <si>
    <t>target</t>
  </si>
  <si>
    <t>applyRate</t>
  </si>
  <si>
    <t>stackValue</t>
  </si>
  <si>
    <t>type2</t>
  </si>
  <si>
    <t>parameter1</t>
  </si>
  <si>
    <t>calculation1</t>
  </si>
  <si>
    <t>value1</t>
  </si>
  <si>
    <t>int64</t>
  </si>
  <si>
    <t>buff01</t>
  </si>
  <si>
    <t>燃烧</t>
  </si>
  <si>
    <t>skBuff_skill_005</t>
  </si>
  <si>
    <t>Apply_Hit</t>
  </si>
  <si>
    <t>被动效果唯一ID；整张被动系统的主键，不可重复。</t>
  </si>
  <si>
    <t>被动中文名称；给策划、数值和展示用。</t>
  </si>
  <si>
    <t>被动中文描述；用于解释设计意图或展示文案。</t>
  </si>
  <si>
    <t>来源类型；装备/天赋/肉鸽，决定被动由哪个系统挂载。</t>
  </si>
  <si>
    <t>触发事件；决定被动在什么时机生效。常驻=始终生效。</t>
  </si>
  <si>
    <t>触发条件；条件表达式，如 HP&lt;30%，无条件留空。</t>
  </si>
  <si>
    <t>效果类型；属性加成/伤害增幅/状态附加/特殊机制。</t>
  </si>
  <si>
    <t>目标规则；决定效果施加给谁。</t>
  </si>
  <si>
    <t>效果主参数；如加成百分比、伤害系数等。</t>
  </si>
  <si>
    <t>效果副参数；如触发概率（万分比）、叠层基础值等。</t>
  </si>
  <si>
    <t>持续时间(毫秒)；0=永久/常驻。</t>
  </si>
  <si>
    <t>叠层上限；可叠加次数，0=不可叠。</t>
  </si>
  <si>
    <t>叠层规则；叠加=层数累加，刷新=重置计时，取最高=保留最高值。</t>
  </si>
  <si>
    <t>被动标签；多个标签用 | 分隔，服务 build/装备/祝福联动。</t>
  </si>
  <si>
    <t>被动ID</t>
  </si>
  <si>
    <t>被动名称</t>
  </si>
  <si>
    <t>被动描述</t>
  </si>
  <si>
    <t>来源类型</t>
  </si>
  <si>
    <t>触发条件</t>
  </si>
  <si>
    <t>效果类型</t>
  </si>
  <si>
    <t>目标规则</t>
  </si>
  <si>
    <t>参数1</t>
  </si>
  <si>
    <t>参数2</t>
  </si>
  <si>
    <t>叠层上限</t>
  </si>
  <si>
    <t>叠层规则</t>
  </si>
  <si>
    <t>被动标签</t>
  </si>
  <si>
    <t>passiveId</t>
  </si>
  <si>
    <t>sourceType</t>
  </si>
  <si>
    <t>triggerCondition</t>
  </si>
  <si>
    <t>effectType</t>
  </si>
  <si>
    <t>targetRule</t>
  </si>
  <si>
    <t>param1</t>
  </si>
  <si>
    <t>param2</t>
  </si>
  <si>
    <t>maxStack</t>
  </si>
  <si>
    <t>stackRule</t>
  </si>
  <si>
    <t>tags</t>
  </si>
  <si>
    <t>passive_001</t>
  </si>
  <si>
    <t>暴击强化</t>
  </si>
  <si>
    <t>暴击率提升15%，适配高暴击build。</t>
  </si>
  <si>
    <t>装备</t>
  </si>
  <si>
    <t>常驻</t>
  </si>
  <si>
    <t>属性加成</t>
  </si>
  <si>
    <t>自身</t>
  </si>
  <si>
    <t>暴击率+1500</t>
  </si>
  <si>
    <t>暴击核心|装备</t>
  </si>
  <si>
    <t>适配暴击流武器</t>
  </si>
  <si>
    <t>passive_002</t>
  </si>
  <si>
    <t>连锁反应</t>
  </si>
  <si>
    <t>闪电链每次跳链伤害递增10%。</t>
  </si>
  <si>
    <t>天赋</t>
  </si>
  <si>
    <t>命中时</t>
  </si>
  <si>
    <t>技能标签含链类</t>
  </si>
  <si>
    <t>伤害增幅</t>
  </si>
  <si>
    <t>当前目标</t>
  </si>
  <si>
    <t>递增+1000/跳</t>
  </si>
  <si>
    <t>叠加</t>
  </si>
  <si>
    <t>链类|雷电|天赋</t>
  </si>
  <si>
    <t>闪电链专属天赋</t>
  </si>
  <si>
    <t>passive_003</t>
  </si>
  <si>
    <t>弹幕风暴</t>
  </si>
  <si>
    <t>命中累计10次后下次攻击额外发射2枚子弹。</t>
  </si>
  <si>
    <t>肉鸽</t>
  </si>
  <si>
    <t>累计命中时</t>
  </si>
  <si>
    <t>命中次数&gt;=10</t>
  </si>
  <si>
    <t>特殊机制</t>
  </si>
  <si>
    <t>额外子弹=2</t>
  </si>
  <si>
    <t>弹道|速射|肉鸽</t>
  </si>
  <si>
    <t>高频武器核心词条</t>
  </si>
  <si>
    <t>passive_004</t>
  </si>
  <si>
    <t>冰霜之心</t>
  </si>
  <si>
    <t>所有冰系技能冻结概率提升20%。</t>
  </si>
  <si>
    <t>冰系冻结率+2000</t>
  </si>
  <si>
    <t>冰霜|控制|装备</t>
  </si>
  <si>
    <t>冰系build关键被动</t>
  </si>
  <si>
    <t>passive_005</t>
  </si>
  <si>
    <t>燃烧蔓延</t>
  </si>
  <si>
    <t>点燃效果在敌人间扩散，概率30%。</t>
  </si>
  <si>
    <t>击杀时</t>
  </si>
  <si>
    <t>目标拥有Buff=点燃</t>
  </si>
  <si>
    <t>状态附加</t>
  </si>
  <si>
    <t>最近敌人</t>
  </si>
  <si>
    <t>概率=3000</t>
  </si>
  <si>
    <t>点燃</t>
  </si>
  <si>
    <t>火焰|持续核心|肉鸽</t>
  </si>
  <si>
    <t>火系扩散词条</t>
  </si>
  <si>
    <t>passive_006</t>
  </si>
  <si>
    <t>弱点洞察</t>
  </si>
  <si>
    <t>对感电目标暴击率额外提升25%。</t>
  </si>
  <si>
    <t>目标拥有Buff=感电</t>
  </si>
  <si>
    <t>暴击率+2500</t>
  </si>
  <si>
    <t>雷电|暴击核心|天赋</t>
  </si>
  <si>
    <t>雷电+暴击联动天赋</t>
  </si>
  <si>
    <t>passive_007</t>
  </si>
  <si>
    <t>韧性强化</t>
  </si>
  <si>
    <t>生命值低于30%时减伤20%。</t>
  </si>
  <si>
    <t>生命值低于</t>
  </si>
  <si>
    <t>HP&lt;30%</t>
  </si>
  <si>
    <t>减伤+2000</t>
  </si>
  <si>
    <t>防御|装备</t>
  </si>
  <si>
    <t>生存向装备被动</t>
  </si>
  <si>
    <t>passive_008</t>
  </si>
  <si>
    <t>弹药回收</t>
  </si>
  <si>
    <t>击杀敌人有15%概率回复1弹药。</t>
  </si>
  <si>
    <t>概率=1500</t>
  </si>
  <si>
    <t>弹药+1</t>
  </si>
  <si>
    <t>弹药|肉鸽</t>
  </si>
  <si>
    <t>弹药续航词条</t>
  </si>
  <si>
    <t>Table</t>
  </si>
  <si>
    <t>English</t>
  </si>
  <si>
    <t>Chinese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</si>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</sst>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0"/>
      <name val="Microsoft YaHei"/>
      <charset val="134"/>
    </font>
    <font>
      <sz val="11"/>
      <color theme="1"/>
      <name val="黑体"/>
      <charset val="134"/>
    </font>
    <font>
      <sz val="11"/>
      <color rgb="FF000000"/>
      <name val="黑体"/>
      <charset val="134"/>
    </font>
    <font>
      <b/>
      <sz val="11"/>
      <name val="黑体"/>
      <charset val="134"/>
    </font>
    <font>
      <sz val="11"/>
      <name val="黑体"/>
      <charset val="134"/>
    </font>
    <font>
      <sz val="12"/>
      <color theme="1"/>
      <name val="黑体"/>
      <charset val="134"/>
    </font>
    <font>
      <sz val="9"/>
      <color theme="1"/>
      <name val="黑体"/>
      <charset val="134"/>
    </font>
    <font>
      <sz val="12"/>
      <name val="黑体"/>
      <charset val="134"/>
    </font>
    <font>
      <sz val="12"/>
      <color theme="1"/>
      <name val="宋体"/>
      <charset val="134"/>
      <scheme val="minor"/>
    </font>
    <font>
      <sz val="12"/>
      <color rgb="FF000000"/>
      <name val="黑体"/>
      <charset val="134"/>
    </font>
    <font>
      <b/>
      <sz val="12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4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/>
      <top style="thin">
        <color rgb="FF99999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rgb="FF99999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6" borderId="9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0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19" fillId="0" borderId="0">
      <alignment vertical="center"/>
    </xf>
    <xf numFmtId="0" fontId="20" fillId="7" borderId="12">
      <alignment vertical="center"/>
    </xf>
    <xf numFmtId="0" fontId="21" fillId="8" borderId="13">
      <alignment vertical="center"/>
    </xf>
    <xf numFmtId="0" fontId="22" fillId="8" borderId="12">
      <alignment vertical="center"/>
    </xf>
    <xf numFmtId="0" fontId="23" fillId="9" borderId="14">
      <alignment vertical="center"/>
    </xf>
    <xf numFmtId="0" fontId="24" fillId="0" borderId="15">
      <alignment vertical="center"/>
    </xf>
    <xf numFmtId="0" fontId="25" fillId="0" borderId="16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29" fillId="36" borderId="0">
      <alignment vertical="center"/>
    </xf>
    <xf numFmtId="0" fontId="31" fillId="0" borderId="0">
      <alignment vertical="center"/>
    </xf>
  </cellStyleXfs>
  <cellXfs count="8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5" fillId="3" borderId="2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wrapText="1"/>
    </xf>
    <xf numFmtId="0" fontId="7" fillId="4" borderId="1" xfId="49" applyFont="1" applyFill="1" applyBorder="1" applyAlignment="1">
      <alignment vertical="center" wrapText="1"/>
    </xf>
    <xf numFmtId="0" fontId="0" fillId="3" borderId="1" xfId="49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4" borderId="1" xfId="49" applyFont="1" applyFill="1" applyBorder="1" applyAlignment="1">
      <alignment horizontal="left" vertical="center"/>
    </xf>
    <xf numFmtId="0" fontId="9" fillId="3" borderId="1" xfId="49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0" fontId="6" fillId="0" borderId="5" xfId="0" applyFont="1" applyFill="1" applyBorder="1" applyAlignment="1">
      <alignment vertical="top" wrapText="1"/>
    </xf>
    <xf numFmtId="0" fontId="6" fillId="0" borderId="0" xfId="0" applyFont="1" applyFill="1" applyAlignment="1">
      <alignment vertical="center"/>
    </xf>
    <xf numFmtId="0" fontId="8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/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0" borderId="6" xfId="0" applyFont="1" applyFill="1" applyBorder="1" applyAlignment="1">
      <alignment vertical="top" wrapText="1"/>
    </xf>
    <xf numFmtId="0" fontId="6" fillId="0" borderId="5" xfId="0" applyFont="1" applyBorder="1" applyAlignment="1">
      <alignment vertical="center"/>
    </xf>
    <xf numFmtId="0" fontId="6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/>
    </xf>
    <xf numFmtId="0" fontId="6" fillId="0" borderId="7" xfId="0" applyFont="1" applyFill="1" applyBorder="1" applyAlignment="1">
      <alignment vertical="top" wrapText="1"/>
    </xf>
    <xf numFmtId="0" fontId="6" fillId="0" borderId="0" xfId="0" applyFont="1" applyAlignment="1">
      <alignment vertical="center"/>
    </xf>
    <xf numFmtId="0" fontId="8" fillId="3" borderId="1" xfId="0" applyFont="1" applyFill="1" applyBorder="1" applyAlignment="1"/>
    <xf numFmtId="0" fontId="10" fillId="3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6" fillId="4" borderId="1" xfId="0" applyFont="1" applyFill="1" applyBorder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top" wrapText="1"/>
    </xf>
    <xf numFmtId="0" fontId="6" fillId="0" borderId="1" xfId="0" applyFont="1" applyFill="1" applyBorder="1">
      <alignment vertical="center"/>
    </xf>
    <xf numFmtId="0" fontId="8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>
      <alignment vertical="center"/>
    </xf>
    <xf numFmtId="0" fontId="8" fillId="0" borderId="0" xfId="0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3" fillId="5" borderId="1" xfId="0" applyFont="1" applyFill="1" applyBorder="1" applyAlignment="1"/>
    <xf numFmtId="0" fontId="4" fillId="5" borderId="1" xfId="0" applyFont="1" applyFill="1" applyBorder="1" applyAlignment="1">
      <alignment horizontal="left" vertical="top" wrapText="1"/>
    </xf>
    <xf numFmtId="0" fontId="2" fillId="0" borderId="1" xfId="0" applyFont="1" applyBorder="1" applyAlignment="1"/>
    <xf numFmtId="0" fontId="4" fillId="5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/>
    <xf numFmtId="0" fontId="0" fillId="0" borderId="0" xfId="0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C25" sqref="C25"/>
    </sheetView>
  </sheetViews>
  <sheetFormatPr defaultColWidth="9" defaultRowHeight="13.5" outlineLevelCol="1"/>
  <cols>
    <col min="1" max="1" width="25" style="87" customWidth="1"/>
    <col min="2" max="2" width="80" style="8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</v>
      </c>
      <c r="B12" t="s">
        <v>2</v>
      </c>
    </row>
    <row r="13" spans="1:2">
      <c r="A13" t="s">
        <v>21</v>
      </c>
      <c r="B13" t="s">
        <v>2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pane xSplit="4" topLeftCell="I1" activePane="topRight" state="frozen"/>
      <selection/>
      <selection pane="topRight" activeCell="C3" sqref="C3"/>
    </sheetView>
  </sheetViews>
  <sheetFormatPr defaultColWidth="9" defaultRowHeight="13.5"/>
  <cols>
    <col min="1" max="1" width="12.75" style="76" customWidth="1"/>
    <col min="2" max="3" width="12.875" style="76" customWidth="1"/>
    <col min="4" max="4" width="14.625" style="76" customWidth="1"/>
    <col min="5" max="5" width="42.875" style="77" customWidth="1"/>
    <col min="6" max="6" width="23.375" style="77" customWidth="1"/>
    <col min="7" max="7" width="24.5" style="77" customWidth="1"/>
    <col min="8" max="8" width="19.875" style="77" customWidth="1"/>
    <col min="9" max="9" width="23.375" style="77" customWidth="1"/>
    <col min="10" max="11" width="20.375" style="77" customWidth="1"/>
    <col min="12" max="12" width="28.25" style="77" customWidth="1"/>
    <col min="13" max="13" width="24.875" style="77" customWidth="1"/>
    <col min="14" max="14" width="34.5" style="77" customWidth="1"/>
    <col min="15" max="16384" width="9" style="76"/>
  </cols>
  <sheetData>
    <row r="1" ht="16.5" customHeight="1" spans="1:14">
      <c r="A1" s="78" t="s">
        <v>36</v>
      </c>
      <c r="B1" s="78" t="s">
        <v>5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ht="15" customHeight="1" spans="1:14">
      <c r="A2" s="79" t="s">
        <v>37</v>
      </c>
      <c r="B2" s="79" t="s">
        <v>38</v>
      </c>
      <c r="C2" s="79"/>
      <c r="D2" s="79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ht="175.5" spans="1:14">
      <c r="A3" s="57" t="s">
        <v>39</v>
      </c>
      <c r="B3" s="57" t="s">
        <v>40</v>
      </c>
      <c r="C3" s="57" t="s">
        <v>41</v>
      </c>
      <c r="D3" s="57" t="s">
        <v>42</v>
      </c>
      <c r="E3" s="57" t="s">
        <v>43</v>
      </c>
      <c r="F3" s="57" t="s">
        <v>44</v>
      </c>
      <c r="G3" s="57" t="s">
        <v>45</v>
      </c>
      <c r="H3" s="57"/>
      <c r="I3" s="57" t="s">
        <v>46</v>
      </c>
      <c r="J3" s="57"/>
      <c r="K3" s="57" t="s">
        <v>47</v>
      </c>
      <c r="L3" s="57" t="s">
        <v>48</v>
      </c>
      <c r="M3" s="57" t="s">
        <v>49</v>
      </c>
      <c r="N3" s="57" t="s">
        <v>50</v>
      </c>
    </row>
    <row r="4" ht="15" customHeight="1" spans="1:14">
      <c r="A4" s="81" t="s">
        <v>51</v>
      </c>
      <c r="B4" s="81" t="s">
        <v>52</v>
      </c>
      <c r="C4" s="81" t="s">
        <v>53</v>
      </c>
      <c r="D4" s="81" t="s">
        <v>54</v>
      </c>
      <c r="E4" s="81" t="s">
        <v>55</v>
      </c>
      <c r="F4" s="81" t="s">
        <v>56</v>
      </c>
      <c r="G4" s="81" t="s">
        <v>57</v>
      </c>
      <c r="H4" s="81"/>
      <c r="I4" s="81" t="s">
        <v>58</v>
      </c>
      <c r="J4" s="81" t="s">
        <v>7</v>
      </c>
      <c r="K4" s="81" t="s">
        <v>59</v>
      </c>
      <c r="L4" s="81" t="s">
        <v>60</v>
      </c>
      <c r="M4" s="81" t="s">
        <v>61</v>
      </c>
      <c r="N4" s="81" t="s">
        <v>62</v>
      </c>
    </row>
    <row r="5" ht="30" customHeight="1" spans="1:14">
      <c r="A5" s="81" t="s">
        <v>63</v>
      </c>
      <c r="B5" s="81" t="s">
        <v>64</v>
      </c>
      <c r="C5" s="81" t="s">
        <v>65</v>
      </c>
      <c r="D5" s="81" t="s">
        <v>66</v>
      </c>
      <c r="E5" s="81" t="s">
        <v>67</v>
      </c>
      <c r="F5" s="81" t="s">
        <v>68</v>
      </c>
      <c r="G5" s="82" t="s">
        <v>69</v>
      </c>
      <c r="H5" s="81" t="s">
        <v>62</v>
      </c>
      <c r="I5" s="82" t="s">
        <v>70</v>
      </c>
      <c r="J5" s="81" t="s">
        <v>71</v>
      </c>
      <c r="K5" s="81" t="s">
        <v>72</v>
      </c>
      <c r="L5" s="81" t="s">
        <v>73</v>
      </c>
      <c r="M5" s="81" t="s">
        <v>74</v>
      </c>
      <c r="N5" s="81" t="s">
        <v>75</v>
      </c>
    </row>
    <row r="6" ht="16.5" customHeight="1" spans="1:14">
      <c r="A6" s="83" t="s">
        <v>76</v>
      </c>
      <c r="B6" s="83" t="s">
        <v>76</v>
      </c>
      <c r="C6" s="83" t="s">
        <v>76</v>
      </c>
      <c r="D6" s="83" t="s">
        <v>76</v>
      </c>
      <c r="E6" s="83" t="s">
        <v>76</v>
      </c>
      <c r="F6" s="83" t="s">
        <v>76</v>
      </c>
      <c r="G6" s="83" t="s">
        <v>76</v>
      </c>
      <c r="H6" s="83"/>
      <c r="I6" s="83" t="s">
        <v>76</v>
      </c>
      <c r="J6" s="83" t="s">
        <v>76</v>
      </c>
      <c r="K6" s="83" t="s">
        <v>76</v>
      </c>
      <c r="L6" s="83" t="s">
        <v>76</v>
      </c>
      <c r="M6" s="83" t="s">
        <v>76</v>
      </c>
      <c r="N6" s="83"/>
    </row>
    <row r="7" ht="39" customHeight="1" spans="1:14">
      <c r="A7" s="51" t="s">
        <v>77</v>
      </c>
      <c r="B7" s="51" t="s">
        <v>78</v>
      </c>
      <c r="C7" s="82" t="s">
        <v>79</v>
      </c>
      <c r="D7" s="51" t="s">
        <v>80</v>
      </c>
      <c r="E7" s="51" t="s">
        <v>81</v>
      </c>
      <c r="F7" s="51" t="s">
        <v>82</v>
      </c>
      <c r="G7" s="51" t="s">
        <v>83</v>
      </c>
      <c r="H7" s="51" t="s">
        <v>84</v>
      </c>
      <c r="I7" s="51" t="s">
        <v>85</v>
      </c>
      <c r="J7" s="51" t="str">
        <f>"skArt_"&amp;A7</f>
        <v>skArt_skill_001</v>
      </c>
      <c r="K7" s="51" t="str">
        <f>"skPar_"&amp;A7</f>
        <v>skPar_skill_001</v>
      </c>
      <c r="L7" s="51"/>
      <c r="M7" s="51"/>
      <c r="N7" s="84"/>
    </row>
    <row r="8" ht="33" customHeight="1" spans="1:14">
      <c r="A8" s="51" t="s">
        <v>86</v>
      </c>
      <c r="B8" s="51" t="s">
        <v>78</v>
      </c>
      <c r="C8" s="82" t="s">
        <v>79</v>
      </c>
      <c r="D8" s="51" t="s">
        <v>87</v>
      </c>
      <c r="E8" s="82" t="s">
        <v>88</v>
      </c>
      <c r="F8" s="51" t="s">
        <v>82</v>
      </c>
      <c r="G8" s="51" t="s">
        <v>83</v>
      </c>
      <c r="H8" s="51" t="s">
        <v>84</v>
      </c>
      <c r="I8" s="51" t="s">
        <v>85</v>
      </c>
      <c r="J8" s="51" t="str">
        <f t="shared" ref="J8:J20" si="0">"skArt_"&amp;A8</f>
        <v>skArt_skill_002</v>
      </c>
      <c r="K8" s="51" t="str">
        <f t="shared" ref="K8:K20" si="1">"skPar_"&amp;A8</f>
        <v>skPar_skill_002</v>
      </c>
      <c r="L8" s="51"/>
      <c r="M8" s="51"/>
      <c r="N8" s="84"/>
    </row>
    <row r="9" ht="33" customHeight="1" spans="1:14">
      <c r="A9" s="51" t="s">
        <v>89</v>
      </c>
      <c r="B9" s="51" t="s">
        <v>78</v>
      </c>
      <c r="C9" s="82" t="s">
        <v>79</v>
      </c>
      <c r="D9" s="51" t="s">
        <v>90</v>
      </c>
      <c r="E9" s="82" t="s">
        <v>91</v>
      </c>
      <c r="F9" s="51" t="s">
        <v>82</v>
      </c>
      <c r="G9" s="51" t="s">
        <v>83</v>
      </c>
      <c r="H9" s="51" t="s">
        <v>84</v>
      </c>
      <c r="I9" s="51" t="s">
        <v>85</v>
      </c>
      <c r="J9" s="51" t="str">
        <f t="shared" si="0"/>
        <v>skArt_skill_003</v>
      </c>
      <c r="K9" s="51" t="str">
        <f t="shared" si="1"/>
        <v>skPar_skill_003</v>
      </c>
      <c r="L9" s="51"/>
      <c r="M9" s="51"/>
      <c r="N9" s="84"/>
    </row>
    <row r="10" ht="33" customHeight="1" spans="1:14">
      <c r="A10" s="51" t="s">
        <v>92</v>
      </c>
      <c r="B10" s="51" t="s">
        <v>78</v>
      </c>
      <c r="C10" s="82" t="s">
        <v>79</v>
      </c>
      <c r="D10" s="14" t="s">
        <v>93</v>
      </c>
      <c r="E10" s="82" t="s">
        <v>94</v>
      </c>
      <c r="F10" s="51" t="s">
        <v>82</v>
      </c>
      <c r="G10" s="51" t="s">
        <v>95</v>
      </c>
      <c r="H10" s="82" t="s">
        <v>96</v>
      </c>
      <c r="I10" s="51" t="s">
        <v>85</v>
      </c>
      <c r="J10" s="51" t="str">
        <f t="shared" si="0"/>
        <v>skArt_skill_004</v>
      </c>
      <c r="K10" s="51" t="str">
        <f t="shared" si="1"/>
        <v>skPar_skill_004</v>
      </c>
      <c r="L10" s="51" t="str">
        <f>"skTrig_"&amp;A10</f>
        <v>skTrig_skill_004</v>
      </c>
      <c r="M10" s="51"/>
      <c r="N10" s="84"/>
    </row>
    <row r="11" ht="33" customHeight="1" spans="1:14">
      <c r="A11" s="51" t="s">
        <v>97</v>
      </c>
      <c r="B11" s="51" t="s">
        <v>78</v>
      </c>
      <c r="C11" s="82" t="s">
        <v>79</v>
      </c>
      <c r="D11" s="14" t="s">
        <v>98</v>
      </c>
      <c r="E11" s="82" t="s">
        <v>99</v>
      </c>
      <c r="F11" s="51" t="s">
        <v>100</v>
      </c>
      <c r="G11" s="51"/>
      <c r="H11" s="82" t="s">
        <v>101</v>
      </c>
      <c r="I11" s="51" t="s">
        <v>85</v>
      </c>
      <c r="J11" s="51" t="str">
        <f t="shared" si="0"/>
        <v>skArt_skill_005</v>
      </c>
      <c r="K11" s="51" t="str">
        <f t="shared" si="1"/>
        <v>skPar_skill_005</v>
      </c>
      <c r="L11" s="51" t="str">
        <f>"skTrig_"&amp;A11</f>
        <v>skTrig_skill_005</v>
      </c>
      <c r="M11" s="51" t="str">
        <f>"skBuff_"&amp;A11</f>
        <v>skBuff_skill_005</v>
      </c>
      <c r="N11" s="84"/>
    </row>
    <row r="12" ht="33" customHeight="1" spans="1:14">
      <c r="A12" s="51" t="s">
        <v>102</v>
      </c>
      <c r="B12" s="51" t="s">
        <v>78</v>
      </c>
      <c r="C12" s="82" t="s">
        <v>79</v>
      </c>
      <c r="D12" s="14" t="s">
        <v>103</v>
      </c>
      <c r="E12" s="82" t="s">
        <v>104</v>
      </c>
      <c r="F12" s="51" t="s">
        <v>100</v>
      </c>
      <c r="G12" s="51"/>
      <c r="H12" s="82" t="s">
        <v>101</v>
      </c>
      <c r="I12" s="51" t="s">
        <v>85</v>
      </c>
      <c r="J12" s="51" t="str">
        <f t="shared" si="0"/>
        <v>skArt_skill_006</v>
      </c>
      <c r="K12" s="51" t="str">
        <f t="shared" si="1"/>
        <v>skPar_skill_006</v>
      </c>
      <c r="L12" s="51" t="str">
        <f>"skTrig_"&amp;A12</f>
        <v>skTrig_skill_006</v>
      </c>
      <c r="M12" s="51"/>
      <c r="N12" s="84"/>
    </row>
    <row r="13" spans="1:14">
      <c r="A13" s="51" t="s">
        <v>105</v>
      </c>
      <c r="B13" s="51" t="s">
        <v>78</v>
      </c>
      <c r="C13" s="82" t="s">
        <v>79</v>
      </c>
      <c r="D13" s="51" t="s">
        <v>106</v>
      </c>
      <c r="E13" s="82" t="s">
        <v>107</v>
      </c>
      <c r="F13" s="80" t="s">
        <v>108</v>
      </c>
      <c r="G13" s="80" t="s">
        <v>109</v>
      </c>
      <c r="H13" s="85" t="s">
        <v>110</v>
      </c>
      <c r="I13" s="51" t="s">
        <v>111</v>
      </c>
      <c r="J13" s="51" t="str">
        <f t="shared" si="0"/>
        <v>skArt_skill_007</v>
      </c>
      <c r="K13" s="51" t="str">
        <f t="shared" si="1"/>
        <v>skPar_skill_007</v>
      </c>
      <c r="L13" s="51"/>
      <c r="M13" s="51"/>
      <c r="N13" s="86"/>
    </row>
    <row r="14" ht="27" spans="1:14">
      <c r="A14" s="51" t="s">
        <v>112</v>
      </c>
      <c r="B14" s="51" t="s">
        <v>78</v>
      </c>
      <c r="C14" s="82" t="s">
        <v>79</v>
      </c>
      <c r="D14" s="51" t="s">
        <v>113</v>
      </c>
      <c r="E14" s="85" t="s">
        <v>114</v>
      </c>
      <c r="F14" s="80" t="s">
        <v>108</v>
      </c>
      <c r="G14" s="80" t="s">
        <v>115</v>
      </c>
      <c r="H14" s="82" t="s">
        <v>116</v>
      </c>
      <c r="I14" s="51" t="s">
        <v>111</v>
      </c>
      <c r="J14" s="51" t="str">
        <f t="shared" si="0"/>
        <v>skArt_skill_008</v>
      </c>
      <c r="K14" s="51" t="str">
        <f t="shared" si="1"/>
        <v>skPar_skill_008</v>
      </c>
      <c r="L14" s="51"/>
      <c r="M14" s="51"/>
      <c r="N14" s="86"/>
    </row>
    <row r="15" spans="1:14">
      <c r="A15" s="51" t="s">
        <v>117</v>
      </c>
      <c r="B15" s="51" t="s">
        <v>78</v>
      </c>
      <c r="C15" s="82" t="s">
        <v>79</v>
      </c>
      <c r="D15" s="14" t="s">
        <v>118</v>
      </c>
      <c r="E15" s="82" t="s">
        <v>119</v>
      </c>
      <c r="F15" s="80" t="s">
        <v>120</v>
      </c>
      <c r="G15" s="80" t="s">
        <v>121</v>
      </c>
      <c r="H15" s="85" t="s">
        <v>122</v>
      </c>
      <c r="I15" s="51" t="s">
        <v>111</v>
      </c>
      <c r="J15" s="51" t="str">
        <f t="shared" si="0"/>
        <v>skArt_skill_009</v>
      </c>
      <c r="K15" s="51" t="str">
        <f t="shared" si="1"/>
        <v>skPar_skill_009</v>
      </c>
      <c r="L15" s="51"/>
      <c r="M15" s="51"/>
      <c r="N15" s="86"/>
    </row>
    <row r="16" spans="1:14">
      <c r="A16" s="51" t="s">
        <v>123</v>
      </c>
      <c r="B16" s="51" t="s">
        <v>78</v>
      </c>
      <c r="C16" s="82" t="s">
        <v>79</v>
      </c>
      <c r="D16" s="14" t="s">
        <v>124</v>
      </c>
      <c r="E16" s="82" t="s">
        <v>125</v>
      </c>
      <c r="F16" s="80" t="s">
        <v>120</v>
      </c>
      <c r="G16" s="80" t="s">
        <v>126</v>
      </c>
      <c r="H16" s="82" t="s">
        <v>127</v>
      </c>
      <c r="I16" s="51" t="s">
        <v>111</v>
      </c>
      <c r="J16" s="51" t="str">
        <f t="shared" si="0"/>
        <v>skArt_skill_010</v>
      </c>
      <c r="K16" s="51" t="str">
        <f t="shared" si="1"/>
        <v>skPar_skill_010</v>
      </c>
      <c r="L16" s="51"/>
      <c r="M16" s="51"/>
      <c r="N16" s="80"/>
    </row>
    <row r="17" spans="1:14">
      <c r="A17" s="51" t="s">
        <v>128</v>
      </c>
      <c r="B17" s="51" t="s">
        <v>129</v>
      </c>
      <c r="C17" s="51"/>
      <c r="D17" s="80" t="s">
        <v>130</v>
      </c>
      <c r="E17" s="82" t="s">
        <v>131</v>
      </c>
      <c r="F17" s="80" t="s">
        <v>132</v>
      </c>
      <c r="G17" s="80" t="s">
        <v>133</v>
      </c>
      <c r="H17" s="82" t="s">
        <v>134</v>
      </c>
      <c r="I17" s="51" t="s">
        <v>85</v>
      </c>
      <c r="J17" s="51" t="str">
        <f t="shared" si="0"/>
        <v>skArt_skill_004_A</v>
      </c>
      <c r="K17" s="51" t="str">
        <f t="shared" si="1"/>
        <v>skPar_skill_004_A</v>
      </c>
      <c r="L17" s="51"/>
      <c r="M17" s="51"/>
      <c r="N17" s="80"/>
    </row>
    <row r="18" spans="1:14">
      <c r="A18" s="51" t="s">
        <v>135</v>
      </c>
      <c r="B18" s="51" t="s">
        <v>129</v>
      </c>
      <c r="C18" s="51"/>
      <c r="D18" s="80" t="s">
        <v>136</v>
      </c>
      <c r="E18" s="82" t="s">
        <v>137</v>
      </c>
      <c r="F18" s="80" t="s">
        <v>132</v>
      </c>
      <c r="G18" s="80" t="s">
        <v>133</v>
      </c>
      <c r="H18" s="82" t="s">
        <v>134</v>
      </c>
      <c r="I18" s="51" t="s">
        <v>85</v>
      </c>
      <c r="J18" s="51" t="str">
        <f t="shared" si="0"/>
        <v>skArt_skill_005_A</v>
      </c>
      <c r="K18" s="51" t="str">
        <f t="shared" si="1"/>
        <v>skPar_skill_005_A</v>
      </c>
      <c r="L18" s="51"/>
      <c r="M18" s="51"/>
      <c r="N18" s="80"/>
    </row>
    <row r="19" spans="1:14">
      <c r="A19" s="51" t="s">
        <v>138</v>
      </c>
      <c r="B19" s="51" t="s">
        <v>129</v>
      </c>
      <c r="C19" s="51"/>
      <c r="D19" s="80" t="s">
        <v>139</v>
      </c>
      <c r="E19" s="82" t="s">
        <v>140</v>
      </c>
      <c r="F19" s="80" t="s">
        <v>132</v>
      </c>
      <c r="G19" s="80" t="s">
        <v>141</v>
      </c>
      <c r="H19" s="82" t="s">
        <v>142</v>
      </c>
      <c r="I19" s="51" t="s">
        <v>85</v>
      </c>
      <c r="J19" s="51" t="str">
        <f t="shared" si="0"/>
        <v>skArt_skill_006_A</v>
      </c>
      <c r="K19" s="51" t="str">
        <f t="shared" si="1"/>
        <v>skPar_skill_006_A</v>
      </c>
      <c r="L19" s="51"/>
      <c r="M19" s="51"/>
      <c r="N19" s="80"/>
    </row>
    <row r="20" spans="1:14">
      <c r="A20" s="51" t="s">
        <v>143</v>
      </c>
      <c r="B20" s="51" t="s">
        <v>78</v>
      </c>
      <c r="C20" s="82" t="s">
        <v>144</v>
      </c>
      <c r="D20" s="80" t="s">
        <v>145</v>
      </c>
      <c r="E20" s="82" t="s">
        <v>146</v>
      </c>
      <c r="F20" s="80" t="s">
        <v>147</v>
      </c>
      <c r="G20" s="80" t="s">
        <v>148</v>
      </c>
      <c r="H20" s="82" t="s">
        <v>149</v>
      </c>
      <c r="I20" s="51" t="s">
        <v>85</v>
      </c>
      <c r="J20" s="51" t="str">
        <f t="shared" si="0"/>
        <v>skArt_skill_1001</v>
      </c>
      <c r="K20" s="51" t="str">
        <f t="shared" si="1"/>
        <v>skPar_skill_1001</v>
      </c>
      <c r="L20" s="51"/>
      <c r="M20" s="51"/>
      <c r="N20" s="80"/>
    </row>
  </sheetData>
  <mergeCells count="1">
    <mergeCell ref="B2:N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B30" sqref="B30"/>
    </sheetView>
  </sheetViews>
  <sheetFormatPr defaultColWidth="9" defaultRowHeight="14.25" outlineLevelCol="4"/>
  <cols>
    <col min="1" max="1" width="20.75" style="72" customWidth="1"/>
    <col min="2" max="2" width="40.5" style="72" customWidth="1"/>
    <col min="3" max="4" width="21.5" style="72" customWidth="1"/>
    <col min="5" max="5" width="22.625" style="72" customWidth="1"/>
    <col min="6" max="16384" width="9" style="72"/>
  </cols>
  <sheetData>
    <row r="1" spans="1:5">
      <c r="A1" s="73" t="s">
        <v>36</v>
      </c>
      <c r="B1" s="73" t="s">
        <v>150</v>
      </c>
      <c r="C1" s="73"/>
      <c r="D1" s="73"/>
      <c r="E1" s="73"/>
    </row>
    <row r="2" ht="27" customHeight="1" spans="1:5">
      <c r="A2" s="73" t="s">
        <v>37</v>
      </c>
      <c r="B2" s="73" t="s">
        <v>151</v>
      </c>
      <c r="C2" s="73"/>
      <c r="D2" s="73"/>
      <c r="E2" s="73"/>
    </row>
    <row r="3" ht="82.5" customHeight="1" spans="1:5">
      <c r="A3" s="73" t="s">
        <v>152</v>
      </c>
      <c r="B3" s="73" t="s">
        <v>153</v>
      </c>
      <c r="C3" s="44" t="s">
        <v>154</v>
      </c>
      <c r="D3" s="44" t="s">
        <v>155</v>
      </c>
      <c r="E3" s="44" t="s">
        <v>156</v>
      </c>
    </row>
    <row r="4" ht="15" customHeight="1" spans="1:5">
      <c r="A4" s="73" t="s">
        <v>157</v>
      </c>
      <c r="B4" s="73" t="s">
        <v>158</v>
      </c>
      <c r="C4" s="74" t="s">
        <v>159</v>
      </c>
      <c r="D4" s="74" t="s">
        <v>160</v>
      </c>
      <c r="E4" s="74" t="s">
        <v>161</v>
      </c>
    </row>
    <row r="5" ht="15" customHeight="1" spans="1:5">
      <c r="A5" s="73" t="s">
        <v>162</v>
      </c>
      <c r="B5" s="73" t="s">
        <v>63</v>
      </c>
      <c r="C5" s="74" t="s">
        <v>163</v>
      </c>
      <c r="D5" s="74" t="s">
        <v>164</v>
      </c>
      <c r="E5" s="74" t="s">
        <v>71</v>
      </c>
    </row>
    <row r="6" ht="16.5" customHeight="1" spans="1:5">
      <c r="A6" s="73" t="s">
        <v>76</v>
      </c>
      <c r="B6" s="73" t="s">
        <v>76</v>
      </c>
      <c r="C6" s="34" t="s">
        <v>76</v>
      </c>
      <c r="D6" s="34" t="s">
        <v>76</v>
      </c>
      <c r="E6" s="34" t="s">
        <v>76</v>
      </c>
    </row>
    <row r="7" spans="1:5">
      <c r="A7" s="75" t="s">
        <v>165</v>
      </c>
      <c r="B7" s="51" t="s">
        <v>77</v>
      </c>
      <c r="C7" s="72" t="str">
        <f>"Ico_"&amp;$B7</f>
        <v>Ico_skill_001</v>
      </c>
      <c r="D7" s="72" t="str">
        <f>"VFX_"&amp;$B7</f>
        <v>VFX_skill_001</v>
      </c>
      <c r="E7" s="72" t="str">
        <f>"SFX_"&amp;$B7</f>
        <v>SFX_skill_001</v>
      </c>
    </row>
    <row r="8" spans="1:5">
      <c r="A8" s="75" t="s">
        <v>166</v>
      </c>
      <c r="B8" s="51" t="s">
        <v>86</v>
      </c>
      <c r="C8" s="72" t="str">
        <f t="shared" ref="C8:C20" si="0">"Ico_"&amp;$B8</f>
        <v>Ico_skill_002</v>
      </c>
      <c r="D8" s="72" t="str">
        <f t="shared" ref="D8:D20" si="1">"VFX_"&amp;$B8</f>
        <v>VFX_skill_002</v>
      </c>
      <c r="E8" s="72" t="str">
        <f t="shared" ref="E8:E20" si="2">"SFX_"&amp;$B8</f>
        <v>SFX_skill_002</v>
      </c>
    </row>
    <row r="9" spans="1:5">
      <c r="A9" s="75" t="s">
        <v>167</v>
      </c>
      <c r="B9" s="51" t="s">
        <v>89</v>
      </c>
      <c r="C9" s="72" t="str">
        <f t="shared" si="0"/>
        <v>Ico_skill_003</v>
      </c>
      <c r="D9" s="72" t="str">
        <f t="shared" si="1"/>
        <v>VFX_skill_003</v>
      </c>
      <c r="E9" s="72" t="str">
        <f t="shared" si="2"/>
        <v>SFX_skill_003</v>
      </c>
    </row>
    <row r="10" spans="1:5">
      <c r="A10" s="75" t="s">
        <v>168</v>
      </c>
      <c r="B10" s="51" t="s">
        <v>92</v>
      </c>
      <c r="C10" s="72" t="str">
        <f t="shared" si="0"/>
        <v>Ico_skill_004</v>
      </c>
      <c r="D10" s="72" t="str">
        <f t="shared" si="1"/>
        <v>VFX_skill_004</v>
      </c>
      <c r="E10" s="72" t="str">
        <f t="shared" si="2"/>
        <v>SFX_skill_004</v>
      </c>
    </row>
    <row r="11" spans="1:5">
      <c r="A11" s="75" t="s">
        <v>169</v>
      </c>
      <c r="B11" s="51" t="s">
        <v>97</v>
      </c>
      <c r="C11" s="72" t="str">
        <f t="shared" si="0"/>
        <v>Ico_skill_005</v>
      </c>
      <c r="D11" s="72" t="str">
        <f t="shared" si="1"/>
        <v>VFX_skill_005</v>
      </c>
      <c r="E11" s="72" t="str">
        <f t="shared" si="2"/>
        <v>SFX_skill_005</v>
      </c>
    </row>
    <row r="12" spans="1:5">
      <c r="A12" s="75" t="s">
        <v>170</v>
      </c>
      <c r="B12" s="51" t="s">
        <v>102</v>
      </c>
      <c r="C12" s="72" t="str">
        <f t="shared" si="0"/>
        <v>Ico_skill_006</v>
      </c>
      <c r="D12" s="72" t="str">
        <f t="shared" si="1"/>
        <v>VFX_skill_006</v>
      </c>
      <c r="E12" s="72" t="str">
        <f t="shared" si="2"/>
        <v>SFX_skill_006</v>
      </c>
    </row>
    <row r="13" spans="1:5">
      <c r="A13" s="75" t="s">
        <v>171</v>
      </c>
      <c r="B13" s="51" t="s">
        <v>105</v>
      </c>
      <c r="C13" s="72" t="str">
        <f t="shared" si="0"/>
        <v>Ico_skill_007</v>
      </c>
      <c r="D13" s="72" t="str">
        <f t="shared" si="1"/>
        <v>VFX_skill_007</v>
      </c>
      <c r="E13" s="72" t="str">
        <f t="shared" si="2"/>
        <v>SFX_skill_007</v>
      </c>
    </row>
    <row r="14" spans="1:5">
      <c r="A14" s="75" t="s">
        <v>172</v>
      </c>
      <c r="B14" s="51" t="s">
        <v>112</v>
      </c>
      <c r="C14" s="72" t="str">
        <f t="shared" si="0"/>
        <v>Ico_skill_008</v>
      </c>
      <c r="D14" s="72" t="str">
        <f t="shared" si="1"/>
        <v>VFX_skill_008</v>
      </c>
      <c r="E14" s="72" t="str">
        <f t="shared" si="2"/>
        <v>SFX_skill_008</v>
      </c>
    </row>
    <row r="15" spans="1:5">
      <c r="A15" s="75" t="s">
        <v>173</v>
      </c>
      <c r="B15" s="51" t="s">
        <v>117</v>
      </c>
      <c r="C15" s="72" t="str">
        <f t="shared" si="0"/>
        <v>Ico_skill_009</v>
      </c>
      <c r="D15" s="72" t="str">
        <f t="shared" si="1"/>
        <v>VFX_skill_009</v>
      </c>
      <c r="E15" s="72" t="str">
        <f t="shared" si="2"/>
        <v>SFX_skill_009</v>
      </c>
    </row>
    <row r="16" spans="1:5">
      <c r="A16" s="75" t="s">
        <v>174</v>
      </c>
      <c r="B16" s="51" t="s">
        <v>123</v>
      </c>
      <c r="C16" s="72" t="str">
        <f t="shared" si="0"/>
        <v>Ico_skill_010</v>
      </c>
      <c r="D16" s="72" t="str">
        <f t="shared" si="1"/>
        <v>VFX_skill_010</v>
      </c>
      <c r="E16" s="72" t="str">
        <f t="shared" si="2"/>
        <v>SFX_skill_010</v>
      </c>
    </row>
    <row r="17" spans="1:5">
      <c r="A17" s="75" t="s">
        <v>175</v>
      </c>
      <c r="B17" s="51" t="s">
        <v>128</v>
      </c>
      <c r="C17" s="72" t="str">
        <f t="shared" si="0"/>
        <v>Ico_skill_004_A</v>
      </c>
      <c r="D17" s="72" t="str">
        <f t="shared" si="1"/>
        <v>VFX_skill_004_A</v>
      </c>
      <c r="E17" s="72" t="str">
        <f t="shared" si="2"/>
        <v>SFX_skill_004_A</v>
      </c>
    </row>
    <row r="18" spans="1:5">
      <c r="A18" s="75" t="s">
        <v>176</v>
      </c>
      <c r="B18" s="51" t="s">
        <v>135</v>
      </c>
      <c r="C18" s="72" t="str">
        <f t="shared" si="0"/>
        <v>Ico_skill_005_A</v>
      </c>
      <c r="D18" s="72" t="str">
        <f t="shared" si="1"/>
        <v>VFX_skill_005_A</v>
      </c>
      <c r="E18" s="72" t="str">
        <f t="shared" si="2"/>
        <v>SFX_skill_005_A</v>
      </c>
    </row>
    <row r="19" spans="1:5">
      <c r="A19" s="72" t="s">
        <v>177</v>
      </c>
      <c r="B19" s="51" t="s">
        <v>138</v>
      </c>
      <c r="C19" s="72" t="str">
        <f t="shared" si="0"/>
        <v>Ico_skill_006_A</v>
      </c>
      <c r="D19" s="72" t="str">
        <f t="shared" si="1"/>
        <v>VFX_skill_006_A</v>
      </c>
      <c r="E19" s="72" t="str">
        <f t="shared" si="2"/>
        <v>SFX_skill_006_A</v>
      </c>
    </row>
    <row r="20" spans="1:5">
      <c r="A20" s="72" t="s">
        <v>178</v>
      </c>
      <c r="B20" s="51" t="s">
        <v>143</v>
      </c>
      <c r="C20" s="72" t="str">
        <f t="shared" si="0"/>
        <v>Ico_skill_1001</v>
      </c>
      <c r="D20" s="72" t="str">
        <f t="shared" si="1"/>
        <v>VFX_skill_1001</v>
      </c>
      <c r="E20" s="72" t="str">
        <f t="shared" si="2"/>
        <v>SFX_skill_1001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pane xSplit="4" topLeftCell="H1" activePane="topRight" state="frozen"/>
      <selection/>
      <selection pane="topRight" activeCell="Y18" sqref="Y18"/>
    </sheetView>
  </sheetViews>
  <sheetFormatPr defaultColWidth="9" defaultRowHeight="14.25"/>
  <cols>
    <col min="1" max="1" width="26" style="54" customWidth="1"/>
    <col min="2" max="2" width="15.5" style="54" customWidth="1"/>
    <col min="3" max="3" width="15" style="54" customWidth="1"/>
    <col min="4" max="4" width="13.875" style="54" customWidth="1"/>
    <col min="5" max="5" width="10.5" style="54" customWidth="1"/>
    <col min="6" max="6" width="9.25" style="54" customWidth="1"/>
    <col min="7" max="7" width="11.375" style="54" customWidth="1"/>
    <col min="8" max="8" width="17.5" style="54" customWidth="1"/>
    <col min="9" max="9" width="19.25" style="54" customWidth="1"/>
    <col min="10" max="10" width="10.5" style="54" customWidth="1"/>
    <col min="11" max="11" width="15.5" style="54" customWidth="1"/>
    <col min="12" max="12" width="11.125" style="54" customWidth="1"/>
    <col min="13" max="13" width="10" style="54" customWidth="1"/>
    <col min="14" max="15" width="9.875" style="54" customWidth="1"/>
    <col min="16" max="17" width="14.125" style="54" customWidth="1"/>
    <col min="18" max="18" width="9" style="54"/>
    <col min="19" max="19" width="11.25" style="54" customWidth="1"/>
    <col min="20" max="20" width="16.875" style="54" customWidth="1"/>
    <col min="21" max="16384" width="9" style="54"/>
  </cols>
  <sheetData>
    <row r="1" spans="1:20">
      <c r="A1" s="44" t="s">
        <v>179</v>
      </c>
      <c r="B1" s="44"/>
      <c r="C1" s="44"/>
      <c r="D1" s="55"/>
      <c r="E1" s="55"/>
      <c r="F1" s="44"/>
      <c r="G1" s="44"/>
      <c r="H1" s="44"/>
      <c r="I1" s="44"/>
      <c r="J1" s="44"/>
      <c r="K1" s="44"/>
      <c r="L1" s="55"/>
      <c r="M1" s="55"/>
      <c r="N1" s="55"/>
      <c r="O1" s="55"/>
      <c r="P1" s="55"/>
      <c r="Q1" s="55"/>
      <c r="R1" s="55"/>
      <c r="S1" s="55"/>
      <c r="T1" s="55"/>
    </row>
    <row r="2" ht="110" customHeight="1" spans="1:20">
      <c r="A2" s="44" t="s">
        <v>180</v>
      </c>
      <c r="B2" s="56" t="s">
        <v>181</v>
      </c>
      <c r="C2" s="56" t="s">
        <v>181</v>
      </c>
      <c r="D2" s="56" t="s">
        <v>181</v>
      </c>
      <c r="E2" s="44" t="s">
        <v>182</v>
      </c>
      <c r="F2" s="44" t="s">
        <v>183</v>
      </c>
      <c r="G2" s="44" t="s">
        <v>184</v>
      </c>
      <c r="H2" s="57" t="s">
        <v>185</v>
      </c>
      <c r="I2" s="57" t="s">
        <v>186</v>
      </c>
      <c r="J2" s="44" t="s">
        <v>187</v>
      </c>
      <c r="K2" s="44" t="s">
        <v>188</v>
      </c>
      <c r="L2" s="44" t="s">
        <v>189</v>
      </c>
      <c r="M2" s="44" t="s">
        <v>190</v>
      </c>
      <c r="N2" s="44" t="s">
        <v>191</v>
      </c>
      <c r="O2" s="44" t="s">
        <v>192</v>
      </c>
      <c r="P2" s="44" t="s">
        <v>193</v>
      </c>
      <c r="Q2" s="44" t="s">
        <v>194</v>
      </c>
      <c r="R2" s="44" t="s">
        <v>195</v>
      </c>
      <c r="S2" s="44" t="s">
        <v>196</v>
      </c>
      <c r="T2" s="44" t="s">
        <v>197</v>
      </c>
    </row>
    <row r="3" ht="32" customHeight="1" spans="1:20">
      <c r="A3" s="44" t="s">
        <v>198</v>
      </c>
      <c r="B3" s="44"/>
      <c r="C3" s="44"/>
      <c r="D3" s="44"/>
      <c r="E3" s="44" t="s">
        <v>198</v>
      </c>
      <c r="F3" s="44" t="s">
        <v>198</v>
      </c>
      <c r="G3" s="44" t="s">
        <v>198</v>
      </c>
      <c r="H3" s="44" t="s">
        <v>198</v>
      </c>
      <c r="I3" s="44" t="s">
        <v>198</v>
      </c>
      <c r="J3" s="44" t="s">
        <v>198</v>
      </c>
      <c r="K3" s="44" t="s">
        <v>198</v>
      </c>
      <c r="L3" s="44" t="s">
        <v>198</v>
      </c>
      <c r="M3" s="44" t="s">
        <v>198</v>
      </c>
      <c r="N3" s="44" t="s">
        <v>198</v>
      </c>
      <c r="O3" s="44" t="s">
        <v>198</v>
      </c>
      <c r="P3" s="44" t="s">
        <v>198</v>
      </c>
      <c r="Q3" s="44" t="s">
        <v>198</v>
      </c>
      <c r="R3" s="44" t="s">
        <v>198</v>
      </c>
      <c r="S3" s="44" t="s">
        <v>198</v>
      </c>
      <c r="T3" s="44" t="s">
        <v>198</v>
      </c>
    </row>
    <row r="4" ht="27" customHeight="1" spans="1:20">
      <c r="A4" s="34" t="s">
        <v>199</v>
      </c>
      <c r="B4" s="34" t="s">
        <v>54</v>
      </c>
      <c r="C4" s="34" t="s">
        <v>200</v>
      </c>
      <c r="D4" s="34" t="s">
        <v>201</v>
      </c>
      <c r="E4" s="34" t="s">
        <v>202</v>
      </c>
      <c r="F4" s="34" t="s">
        <v>203</v>
      </c>
      <c r="G4" s="34" t="s">
        <v>204</v>
      </c>
      <c r="H4" s="34" t="s">
        <v>205</v>
      </c>
      <c r="I4" s="34" t="s">
        <v>205</v>
      </c>
      <c r="J4" s="34" t="s">
        <v>206</v>
      </c>
      <c r="K4" s="34" t="s">
        <v>207</v>
      </c>
      <c r="L4" s="34" t="s">
        <v>208</v>
      </c>
      <c r="M4" s="34" t="s">
        <v>209</v>
      </c>
      <c r="N4" s="34" t="s">
        <v>210</v>
      </c>
      <c r="O4" s="34" t="s">
        <v>211</v>
      </c>
      <c r="P4" s="34" t="s">
        <v>212</v>
      </c>
      <c r="Q4" s="34" t="s">
        <v>213</v>
      </c>
      <c r="R4" s="34" t="s">
        <v>214</v>
      </c>
      <c r="S4" s="34" t="s">
        <v>215</v>
      </c>
      <c r="T4" s="34" t="s">
        <v>216</v>
      </c>
    </row>
    <row r="5" ht="40.5" customHeight="1" spans="1:20">
      <c r="A5" s="34" t="s">
        <v>72</v>
      </c>
      <c r="B5" s="34"/>
      <c r="C5" s="58"/>
      <c r="D5" s="59"/>
      <c r="E5" s="34" t="s">
        <v>217</v>
      </c>
      <c r="F5" s="34" t="s">
        <v>218</v>
      </c>
      <c r="G5" s="34" t="s">
        <v>219</v>
      </c>
      <c r="H5" s="34" t="s">
        <v>220</v>
      </c>
      <c r="I5" s="34" t="s">
        <v>220</v>
      </c>
      <c r="J5" s="34" t="s">
        <v>221</v>
      </c>
      <c r="K5" s="34" t="s">
        <v>222</v>
      </c>
      <c r="L5" s="34" t="s">
        <v>223</v>
      </c>
      <c r="M5" s="34" t="s">
        <v>224</v>
      </c>
      <c r="N5" s="34" t="s">
        <v>225</v>
      </c>
      <c r="O5" s="34" t="s">
        <v>226</v>
      </c>
      <c r="P5" s="34" t="s">
        <v>227</v>
      </c>
      <c r="Q5" s="34" t="s">
        <v>228</v>
      </c>
      <c r="R5" s="34" t="s">
        <v>229</v>
      </c>
      <c r="S5" s="34" t="s">
        <v>230</v>
      </c>
      <c r="T5" s="34" t="s">
        <v>231</v>
      </c>
    </row>
    <row r="6" spans="1:20">
      <c r="A6" s="34" t="s">
        <v>76</v>
      </c>
      <c r="B6" s="59"/>
      <c r="C6" s="60"/>
      <c r="D6" s="60"/>
      <c r="E6" s="34" t="s">
        <v>232</v>
      </c>
      <c r="F6" s="34" t="s">
        <v>232</v>
      </c>
      <c r="G6" s="34" t="s">
        <v>232</v>
      </c>
      <c r="H6" s="34" t="s">
        <v>76</v>
      </c>
      <c r="I6" s="34" t="s">
        <v>76</v>
      </c>
      <c r="J6" s="34" t="s">
        <v>232</v>
      </c>
      <c r="K6" s="34"/>
      <c r="L6" s="34" t="s">
        <v>232</v>
      </c>
      <c r="M6" s="34" t="s">
        <v>232</v>
      </c>
      <c r="N6" s="34" t="s">
        <v>232</v>
      </c>
      <c r="O6" s="34"/>
      <c r="P6" s="34" t="s">
        <v>232</v>
      </c>
      <c r="Q6" s="34" t="s">
        <v>232</v>
      </c>
      <c r="R6" s="34" t="s">
        <v>76</v>
      </c>
      <c r="S6" s="34" t="s">
        <v>232</v>
      </c>
      <c r="T6" s="34" t="s">
        <v>232</v>
      </c>
    </row>
    <row r="7" ht="40.5" customHeight="1" spans="1:20">
      <c r="A7" s="61" t="s">
        <v>233</v>
      </c>
      <c r="B7" s="61" t="s">
        <v>80</v>
      </c>
      <c r="C7" s="61" t="s">
        <v>234</v>
      </c>
      <c r="D7" s="62" t="s">
        <v>84</v>
      </c>
      <c r="E7" s="63">
        <v>10000</v>
      </c>
      <c r="F7" s="64">
        <v>3000</v>
      </c>
      <c r="G7" s="64">
        <v>800</v>
      </c>
      <c r="H7" s="64" t="s">
        <v>235</v>
      </c>
      <c r="I7" s="64">
        <v>0</v>
      </c>
      <c r="J7" s="64">
        <v>10000</v>
      </c>
      <c r="K7" s="64">
        <v>0</v>
      </c>
      <c r="L7" s="64">
        <v>1</v>
      </c>
      <c r="M7" s="64"/>
      <c r="N7" s="64">
        <v>800</v>
      </c>
      <c r="O7" s="64"/>
      <c r="P7" s="64"/>
      <c r="Q7" s="64"/>
      <c r="R7" s="64"/>
      <c r="S7" s="64"/>
      <c r="T7" s="64"/>
    </row>
    <row r="8" ht="40.5" customHeight="1" spans="1:20">
      <c r="A8" s="61" t="s">
        <v>236</v>
      </c>
      <c r="B8" s="61" t="s">
        <v>87</v>
      </c>
      <c r="C8" s="61" t="s">
        <v>234</v>
      </c>
      <c r="D8" s="62" t="s">
        <v>84</v>
      </c>
      <c r="E8" s="63">
        <v>10000</v>
      </c>
      <c r="F8" s="64">
        <v>3000</v>
      </c>
      <c r="G8" s="64">
        <v>800</v>
      </c>
      <c r="H8" s="64" t="s">
        <v>235</v>
      </c>
      <c r="I8" s="64">
        <v>0</v>
      </c>
      <c r="J8" s="64">
        <v>10000</v>
      </c>
      <c r="K8" s="64">
        <v>0</v>
      </c>
      <c r="L8" s="64">
        <v>1</v>
      </c>
      <c r="M8" s="64"/>
      <c r="N8" s="64">
        <v>800</v>
      </c>
      <c r="O8" s="64"/>
      <c r="P8" s="64"/>
      <c r="Q8" s="64"/>
      <c r="R8" s="64"/>
      <c r="S8" s="64"/>
      <c r="T8" s="64"/>
    </row>
    <row r="9" ht="40.5" customHeight="1" spans="1:20">
      <c r="A9" s="61" t="s">
        <v>237</v>
      </c>
      <c r="B9" s="61" t="s">
        <v>90</v>
      </c>
      <c r="C9" s="61" t="s">
        <v>234</v>
      </c>
      <c r="D9" s="65" t="s">
        <v>96</v>
      </c>
      <c r="E9" s="63">
        <v>10000</v>
      </c>
      <c r="F9" s="64">
        <v>3000</v>
      </c>
      <c r="G9" s="64">
        <v>800</v>
      </c>
      <c r="H9" s="64" t="s">
        <v>235</v>
      </c>
      <c r="I9" s="64">
        <v>0</v>
      </c>
      <c r="J9" s="64">
        <v>10000</v>
      </c>
      <c r="K9" s="64">
        <v>0</v>
      </c>
      <c r="L9" s="64">
        <v>1</v>
      </c>
      <c r="M9" s="64">
        <v>10</v>
      </c>
      <c r="N9" s="64">
        <v>800</v>
      </c>
      <c r="O9" s="64"/>
      <c r="P9" s="64"/>
      <c r="Q9" s="64"/>
      <c r="R9" s="64"/>
      <c r="S9" s="64"/>
      <c r="T9" s="64"/>
    </row>
    <row r="10" ht="40.5" customHeight="1" spans="1:20">
      <c r="A10" s="61" t="s">
        <v>238</v>
      </c>
      <c r="B10" s="52" t="s">
        <v>93</v>
      </c>
      <c r="C10" s="61" t="s">
        <v>234</v>
      </c>
      <c r="D10" s="65" t="s">
        <v>101</v>
      </c>
      <c r="E10" s="63">
        <v>10000</v>
      </c>
      <c r="F10" s="64">
        <v>3000</v>
      </c>
      <c r="G10" s="64">
        <v>800</v>
      </c>
      <c r="H10" s="64" t="s">
        <v>235</v>
      </c>
      <c r="I10" s="64">
        <v>0</v>
      </c>
      <c r="J10" s="64">
        <v>10000</v>
      </c>
      <c r="K10" s="64">
        <v>0</v>
      </c>
      <c r="L10" s="64">
        <v>1</v>
      </c>
      <c r="M10" s="64"/>
      <c r="N10" s="64">
        <v>800</v>
      </c>
      <c r="O10" s="64"/>
      <c r="P10" s="64"/>
      <c r="Q10" s="64"/>
      <c r="R10" s="64"/>
      <c r="S10" s="64"/>
      <c r="T10" s="64"/>
    </row>
    <row r="11" spans="1:20">
      <c r="A11" s="61" t="s">
        <v>239</v>
      </c>
      <c r="B11" s="52" t="s">
        <v>98</v>
      </c>
      <c r="C11" s="61" t="s">
        <v>101</v>
      </c>
      <c r="D11" s="65" t="s">
        <v>101</v>
      </c>
      <c r="E11" s="63">
        <v>10000</v>
      </c>
      <c r="F11" s="64">
        <v>3000</v>
      </c>
      <c r="G11" s="64">
        <v>800</v>
      </c>
      <c r="H11" s="64" t="s">
        <v>235</v>
      </c>
      <c r="I11" s="64">
        <v>0</v>
      </c>
      <c r="J11" s="64">
        <v>10000</v>
      </c>
      <c r="K11" s="64">
        <v>0</v>
      </c>
      <c r="L11" s="64">
        <v>1</v>
      </c>
      <c r="M11" s="66"/>
      <c r="N11" s="66">
        <v>500</v>
      </c>
      <c r="O11" s="66"/>
      <c r="P11" s="66"/>
      <c r="Q11" s="66"/>
      <c r="R11" s="66"/>
      <c r="S11" s="66"/>
      <c r="T11" s="66"/>
    </row>
    <row r="12" spans="1:20">
      <c r="A12" s="61" t="s">
        <v>240</v>
      </c>
      <c r="B12" s="52" t="s">
        <v>103</v>
      </c>
      <c r="C12" s="61" t="s">
        <v>101</v>
      </c>
      <c r="D12" s="67" t="s">
        <v>110</v>
      </c>
      <c r="E12" s="63">
        <v>10000</v>
      </c>
      <c r="F12" s="64">
        <v>3000</v>
      </c>
      <c r="G12" s="64">
        <v>800</v>
      </c>
      <c r="H12" s="64" t="s">
        <v>235</v>
      </c>
      <c r="I12" s="64">
        <v>0</v>
      </c>
      <c r="J12" s="64">
        <v>10000</v>
      </c>
      <c r="K12" s="64">
        <v>0</v>
      </c>
      <c r="L12" s="64">
        <v>1</v>
      </c>
      <c r="M12" s="66"/>
      <c r="N12" s="66">
        <v>500</v>
      </c>
      <c r="O12" s="66"/>
      <c r="P12" s="66"/>
      <c r="Q12" s="66"/>
      <c r="R12" s="66"/>
      <c r="S12" s="66"/>
      <c r="T12" s="66"/>
    </row>
    <row r="13" spans="1:20">
      <c r="A13" s="61" t="s">
        <v>241</v>
      </c>
      <c r="B13" s="61" t="s">
        <v>106</v>
      </c>
      <c r="C13" s="61" t="s">
        <v>242</v>
      </c>
      <c r="D13" s="65" t="s">
        <v>116</v>
      </c>
      <c r="E13" s="63">
        <v>10000</v>
      </c>
      <c r="F13" s="64">
        <v>3000</v>
      </c>
      <c r="G13" s="64">
        <v>800</v>
      </c>
      <c r="H13" s="64" t="s">
        <v>235</v>
      </c>
      <c r="I13" s="64">
        <v>0</v>
      </c>
      <c r="J13" s="64">
        <v>10000</v>
      </c>
      <c r="K13" s="64">
        <v>0</v>
      </c>
      <c r="L13" s="64">
        <v>1</v>
      </c>
      <c r="M13" s="66"/>
      <c r="N13" s="66"/>
      <c r="O13" s="66"/>
      <c r="P13" s="66"/>
      <c r="Q13" s="66"/>
      <c r="R13" s="66" t="s">
        <v>243</v>
      </c>
      <c r="S13" s="66"/>
      <c r="T13" s="66"/>
    </row>
    <row r="14" spans="1:20">
      <c r="A14" s="61" t="s">
        <v>244</v>
      </c>
      <c r="B14" s="61" t="s">
        <v>113</v>
      </c>
      <c r="C14" s="61" t="s">
        <v>242</v>
      </c>
      <c r="D14" s="67" t="s">
        <v>122</v>
      </c>
      <c r="E14" s="63">
        <v>10000</v>
      </c>
      <c r="F14" s="64">
        <v>3000</v>
      </c>
      <c r="G14" s="64">
        <v>800</v>
      </c>
      <c r="H14" s="64" t="s">
        <v>235</v>
      </c>
      <c r="I14" s="64">
        <v>0</v>
      </c>
      <c r="J14" s="64">
        <v>10000</v>
      </c>
      <c r="K14" s="64">
        <v>0</v>
      </c>
      <c r="L14" s="64">
        <v>1</v>
      </c>
      <c r="M14" s="66"/>
      <c r="N14" s="66"/>
      <c r="O14" s="66"/>
      <c r="P14" s="66">
        <v>3000</v>
      </c>
      <c r="Q14" s="66">
        <v>1</v>
      </c>
      <c r="R14" s="66" t="s">
        <v>245</v>
      </c>
      <c r="S14" s="66">
        <v>50</v>
      </c>
      <c r="T14" s="66">
        <v>500</v>
      </c>
    </row>
    <row r="15" spans="1:20">
      <c r="A15" s="61" t="s">
        <v>246</v>
      </c>
      <c r="B15" s="52" t="s">
        <v>118</v>
      </c>
      <c r="C15" s="68" t="s">
        <v>247</v>
      </c>
      <c r="D15" s="65" t="s">
        <v>127</v>
      </c>
      <c r="E15" s="63">
        <v>10000</v>
      </c>
      <c r="F15" s="64">
        <v>3000</v>
      </c>
      <c r="G15" s="64">
        <v>800</v>
      </c>
      <c r="H15" s="64" t="s">
        <v>235</v>
      </c>
      <c r="I15" s="64">
        <v>0</v>
      </c>
      <c r="J15" s="64">
        <v>10000</v>
      </c>
      <c r="K15" s="64">
        <v>0</v>
      </c>
      <c r="L15" s="64">
        <v>1</v>
      </c>
      <c r="M15" s="66"/>
      <c r="N15" s="66"/>
      <c r="O15" s="66">
        <v>2</v>
      </c>
      <c r="P15" s="66"/>
      <c r="Q15" s="66"/>
      <c r="R15" s="66"/>
      <c r="S15" s="66"/>
      <c r="T15" s="66"/>
    </row>
    <row r="16" spans="1:20">
      <c r="A16" s="61" t="s">
        <v>248</v>
      </c>
      <c r="B16" s="52" t="s">
        <v>124</v>
      </c>
      <c r="C16" s="68" t="s">
        <v>247</v>
      </c>
      <c r="D16" s="65" t="s">
        <v>134</v>
      </c>
      <c r="E16" s="63">
        <v>10000</v>
      </c>
      <c r="F16" s="64">
        <v>3000</v>
      </c>
      <c r="G16" s="64">
        <v>800</v>
      </c>
      <c r="H16" s="64" t="s">
        <v>235</v>
      </c>
      <c r="I16" s="64">
        <v>0</v>
      </c>
      <c r="J16" s="64">
        <v>10000</v>
      </c>
      <c r="K16" s="64">
        <v>0</v>
      </c>
      <c r="L16" s="64">
        <v>1</v>
      </c>
      <c r="M16" s="66"/>
      <c r="N16" s="66"/>
      <c r="O16" s="66">
        <v>2</v>
      </c>
      <c r="P16" s="66">
        <v>3000</v>
      </c>
      <c r="Q16" s="66">
        <v>1</v>
      </c>
      <c r="R16" s="66"/>
      <c r="S16" s="66">
        <v>30</v>
      </c>
      <c r="T16" s="66">
        <v>500</v>
      </c>
    </row>
    <row r="17" spans="1:20">
      <c r="A17" s="61" t="s">
        <v>249</v>
      </c>
      <c r="B17" s="68" t="s">
        <v>130</v>
      </c>
      <c r="C17" s="68" t="s">
        <v>250</v>
      </c>
      <c r="D17" s="65" t="s">
        <v>134</v>
      </c>
      <c r="E17" s="63">
        <v>10000</v>
      </c>
      <c r="F17" s="64"/>
      <c r="G17" s="64"/>
      <c r="H17" s="66"/>
      <c r="I17" s="66"/>
      <c r="J17" s="64">
        <v>10000</v>
      </c>
      <c r="K17" s="64">
        <v>0</v>
      </c>
      <c r="L17" s="64">
        <v>1</v>
      </c>
      <c r="M17" s="66"/>
      <c r="N17" s="66"/>
      <c r="O17" s="66"/>
      <c r="P17" s="66"/>
      <c r="Q17" s="66"/>
      <c r="R17" s="66" t="s">
        <v>243</v>
      </c>
      <c r="S17" s="66"/>
      <c r="T17" s="66"/>
    </row>
    <row r="18" spans="1:20">
      <c r="A18" s="61" t="s">
        <v>251</v>
      </c>
      <c r="B18" s="68" t="s">
        <v>136</v>
      </c>
      <c r="C18" s="68" t="s">
        <v>250</v>
      </c>
      <c r="D18" s="65" t="s">
        <v>134</v>
      </c>
      <c r="E18" s="63">
        <v>10000</v>
      </c>
      <c r="F18" s="64"/>
      <c r="G18" s="64"/>
      <c r="H18" s="66"/>
      <c r="I18" s="66"/>
      <c r="J18" s="64">
        <v>10000</v>
      </c>
      <c r="K18" s="64">
        <v>0</v>
      </c>
      <c r="L18" s="64">
        <v>1</v>
      </c>
      <c r="M18" s="66"/>
      <c r="N18" s="66"/>
      <c r="O18" s="66"/>
      <c r="P18" s="66"/>
      <c r="Q18" s="66"/>
      <c r="R18" s="66" t="s">
        <v>243</v>
      </c>
      <c r="S18" s="66"/>
      <c r="T18" s="66"/>
    </row>
    <row r="19" spans="1:20">
      <c r="A19" s="69" t="s">
        <v>252</v>
      </c>
      <c r="B19" s="68" t="s">
        <v>139</v>
      </c>
      <c r="C19" s="68" t="s">
        <v>250</v>
      </c>
      <c r="D19" s="65" t="s">
        <v>142</v>
      </c>
      <c r="E19" s="63">
        <v>10000</v>
      </c>
      <c r="F19" s="64"/>
      <c r="G19" s="64"/>
      <c r="H19" s="70"/>
      <c r="I19" s="70"/>
      <c r="J19" s="64">
        <v>10000</v>
      </c>
      <c r="K19" s="70">
        <v>1</v>
      </c>
      <c r="L19" s="64">
        <v>1</v>
      </c>
      <c r="M19" s="70"/>
      <c r="N19" s="70"/>
      <c r="O19" s="70"/>
      <c r="P19" s="70">
        <v>3000</v>
      </c>
      <c r="Q19" s="70">
        <v>1</v>
      </c>
      <c r="R19" s="70"/>
      <c r="S19" s="70">
        <v>30</v>
      </c>
      <c r="T19" s="70">
        <v>1000</v>
      </c>
    </row>
    <row r="20" spans="1:20">
      <c r="A20" s="69" t="s">
        <v>253</v>
      </c>
      <c r="B20" s="68" t="s">
        <v>145</v>
      </c>
      <c r="C20" s="68" t="s">
        <v>254</v>
      </c>
      <c r="D20" s="71" t="s">
        <v>149</v>
      </c>
      <c r="E20" s="34">
        <v>10000</v>
      </c>
      <c r="F20" s="64">
        <v>3000</v>
      </c>
      <c r="G20" s="64">
        <v>100</v>
      </c>
      <c r="H20" s="70" t="s">
        <v>79</v>
      </c>
      <c r="I20" s="70">
        <v>0</v>
      </c>
      <c r="J20" s="64">
        <v>10000</v>
      </c>
      <c r="K20" s="70">
        <v>1</v>
      </c>
      <c r="L20" s="64">
        <v>1</v>
      </c>
      <c r="M20" s="70"/>
      <c r="N20" s="70"/>
      <c r="O20" s="70"/>
      <c r="P20" s="70"/>
      <c r="Q20" s="70"/>
      <c r="R20" s="70"/>
      <c r="S20" s="70"/>
      <c r="T20" s="70"/>
    </row>
  </sheetData>
  <mergeCells count="1">
    <mergeCell ref="C1:T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N16" sqref="N16"/>
    </sheetView>
  </sheetViews>
  <sheetFormatPr defaultColWidth="9" defaultRowHeight="14.25" outlineLevelRow="7"/>
  <cols>
    <col min="1" max="1" width="9" style="43"/>
    <col min="2" max="2" width="14.375" style="43" customWidth="1"/>
    <col min="3" max="3" width="22.75" style="43" customWidth="1"/>
    <col min="4" max="4" width="10.875" style="43" customWidth="1"/>
    <col min="5" max="6" width="21.375" style="43" customWidth="1"/>
    <col min="7" max="7" width="11.875" style="43" customWidth="1"/>
    <col min="8" max="8" width="13.75" style="43" customWidth="1"/>
    <col min="9" max="9" width="21.875" style="43" customWidth="1"/>
    <col min="10" max="16384" width="9" style="43"/>
  </cols>
  <sheetData>
    <row r="1" spans="1:9">
      <c r="A1" s="44" t="s">
        <v>179</v>
      </c>
      <c r="B1" s="44" t="s">
        <v>255</v>
      </c>
      <c r="C1" s="45"/>
      <c r="D1" s="45"/>
      <c r="E1" s="45"/>
      <c r="F1" s="45"/>
      <c r="G1" s="45"/>
      <c r="H1" s="46"/>
      <c r="I1" s="46"/>
    </row>
    <row r="2" ht="108" customHeight="1" spans="1:9">
      <c r="A2" s="46"/>
      <c r="B2" s="47" t="s">
        <v>256</v>
      </c>
      <c r="C2" s="27" t="s">
        <v>257</v>
      </c>
      <c r="D2" s="27" t="s">
        <v>258</v>
      </c>
      <c r="E2" s="27" t="s">
        <v>259</v>
      </c>
      <c r="F2" s="27" t="s">
        <v>260</v>
      </c>
      <c r="G2" s="27" t="s">
        <v>261</v>
      </c>
      <c r="H2" s="27" t="s">
        <v>262</v>
      </c>
      <c r="I2" s="27" t="s">
        <v>263</v>
      </c>
    </row>
    <row r="3" ht="27" customHeight="1" spans="1:9">
      <c r="A3" s="46" t="s">
        <v>264</v>
      </c>
      <c r="B3" s="47" t="s">
        <v>54</v>
      </c>
      <c r="C3" s="34" t="s">
        <v>60</v>
      </c>
      <c r="D3" s="34" t="s">
        <v>265</v>
      </c>
      <c r="E3" s="34" t="s">
        <v>266</v>
      </c>
      <c r="F3" s="34" t="s">
        <v>267</v>
      </c>
      <c r="G3" s="34" t="s">
        <v>268</v>
      </c>
      <c r="H3" s="34" t="s">
        <v>269</v>
      </c>
      <c r="I3" s="34" t="s">
        <v>270</v>
      </c>
    </row>
    <row r="4" ht="40.5" customHeight="1" spans="1:9">
      <c r="A4" s="46" t="s">
        <v>271</v>
      </c>
      <c r="B4" s="47"/>
      <c r="C4" s="34" t="s">
        <v>73</v>
      </c>
      <c r="D4" s="34" t="s">
        <v>272</v>
      </c>
      <c r="E4" s="34" t="s">
        <v>273</v>
      </c>
      <c r="F4" s="34" t="s">
        <v>274</v>
      </c>
      <c r="G4" s="34" t="s">
        <v>275</v>
      </c>
      <c r="H4" s="34" t="s">
        <v>276</v>
      </c>
      <c r="I4" s="34" t="s">
        <v>277</v>
      </c>
    </row>
    <row r="5" spans="1:9">
      <c r="A5" s="39" t="s">
        <v>76</v>
      </c>
      <c r="B5" s="47"/>
      <c r="C5" s="39" t="s">
        <v>76</v>
      </c>
      <c r="D5" s="39" t="s">
        <v>232</v>
      </c>
      <c r="E5" s="39" t="s">
        <v>278</v>
      </c>
      <c r="F5" s="39" t="s">
        <v>232</v>
      </c>
      <c r="G5" s="39" t="s">
        <v>76</v>
      </c>
      <c r="H5" s="39" t="s">
        <v>232</v>
      </c>
      <c r="I5" s="39" t="s">
        <v>232</v>
      </c>
    </row>
    <row r="6" ht="27" customHeight="1" spans="1:9">
      <c r="A6" s="48" t="s">
        <v>279</v>
      </c>
      <c r="B6" s="49" t="s">
        <v>93</v>
      </c>
      <c r="C6" s="48" t="s">
        <v>280</v>
      </c>
      <c r="D6" s="50">
        <v>1</v>
      </c>
      <c r="E6" s="50" t="s">
        <v>281</v>
      </c>
      <c r="F6" s="50">
        <v>1</v>
      </c>
      <c r="G6" s="51" t="s">
        <v>128</v>
      </c>
      <c r="H6" s="50">
        <v>0</v>
      </c>
      <c r="I6" s="50"/>
    </row>
    <row r="7" ht="54" customHeight="1" spans="1:9">
      <c r="A7" s="48" t="s">
        <v>282</v>
      </c>
      <c r="B7" s="52" t="s">
        <v>98</v>
      </c>
      <c r="C7" s="53" t="s">
        <v>283</v>
      </c>
      <c r="D7" s="50">
        <v>1</v>
      </c>
      <c r="E7" s="50" t="s">
        <v>281</v>
      </c>
      <c r="F7" s="50">
        <v>1</v>
      </c>
      <c r="G7" s="51" t="s">
        <v>135</v>
      </c>
      <c r="H7" s="50">
        <v>0</v>
      </c>
      <c r="I7" s="50"/>
    </row>
    <row r="8" ht="40.5" customHeight="1" spans="1:9">
      <c r="A8" s="48" t="s">
        <v>284</v>
      </c>
      <c r="B8" s="52" t="s">
        <v>103</v>
      </c>
      <c r="C8" s="53" t="s">
        <v>285</v>
      </c>
      <c r="D8" s="50">
        <v>1</v>
      </c>
      <c r="E8" s="50" t="s">
        <v>281</v>
      </c>
      <c r="F8" s="50">
        <v>1</v>
      </c>
      <c r="G8" s="51" t="s">
        <v>138</v>
      </c>
      <c r="H8" s="50">
        <v>0</v>
      </c>
      <c r="I8" s="50"/>
    </row>
  </sheetData>
  <mergeCells count="1">
    <mergeCell ref="B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topLeftCell="H1" workbookViewId="0">
      <selection activeCell="L23" sqref="L23"/>
    </sheetView>
  </sheetViews>
  <sheetFormatPr defaultColWidth="9" defaultRowHeight="13.5" outlineLevelRow="5"/>
  <cols>
    <col min="1" max="3" width="17.75" style="18" customWidth="1"/>
    <col min="4" max="4" width="22.875" style="18" customWidth="1"/>
    <col min="5" max="9" width="17.75" style="18" customWidth="1"/>
    <col min="10" max="10" width="11.625" style="18" customWidth="1"/>
    <col min="11" max="11" width="21" style="18" customWidth="1"/>
    <col min="12" max="12" width="28.125" style="18" customWidth="1"/>
    <col min="13" max="16384" width="9" style="18"/>
  </cols>
  <sheetData>
    <row r="1" spans="1:14">
      <c r="A1" s="19" t="s">
        <v>179</v>
      </c>
      <c r="B1" s="20" t="s">
        <v>286</v>
      </c>
      <c r="C1" s="20"/>
      <c r="D1" s="21"/>
      <c r="E1" s="21"/>
      <c r="F1" s="21"/>
      <c r="G1" s="21"/>
      <c r="H1" s="21"/>
      <c r="I1" s="21"/>
      <c r="J1" s="22"/>
      <c r="K1" s="23"/>
      <c r="L1" s="23"/>
      <c r="M1" s="24"/>
      <c r="N1" s="24"/>
    </row>
    <row r="2" ht="247.5" spans="1:14">
      <c r="A2" s="25" t="s">
        <v>287</v>
      </c>
      <c r="B2" s="23"/>
      <c r="C2" s="26" t="s">
        <v>288</v>
      </c>
      <c r="D2" s="26"/>
      <c r="E2" s="27" t="s">
        <v>289</v>
      </c>
      <c r="F2" s="9" t="s">
        <v>41</v>
      </c>
      <c r="G2" s="26" t="s">
        <v>290</v>
      </c>
      <c r="H2" s="26" t="s">
        <v>291</v>
      </c>
      <c r="I2" s="26" t="s">
        <v>292</v>
      </c>
      <c r="J2" s="28" t="s">
        <v>293</v>
      </c>
      <c r="K2" s="29" t="s">
        <v>294</v>
      </c>
      <c r="L2" s="30" t="s">
        <v>295</v>
      </c>
      <c r="M2" s="31" t="s">
        <v>296</v>
      </c>
      <c r="N2" s="31" t="s">
        <v>297</v>
      </c>
    </row>
    <row r="3" ht="27" customHeight="1" spans="1:14">
      <c r="A3" s="32" t="s">
        <v>264</v>
      </c>
      <c r="B3" s="23" t="s">
        <v>298</v>
      </c>
      <c r="C3" s="33" t="s">
        <v>61</v>
      </c>
      <c r="D3" s="33" t="s">
        <v>265</v>
      </c>
      <c r="E3" s="34" t="s">
        <v>266</v>
      </c>
      <c r="F3" s="33" t="s">
        <v>299</v>
      </c>
      <c r="G3" s="33" t="s">
        <v>300</v>
      </c>
      <c r="H3" s="33" t="s">
        <v>301</v>
      </c>
      <c r="I3" s="33" t="s">
        <v>212</v>
      </c>
      <c r="J3" s="28" t="s">
        <v>302</v>
      </c>
      <c r="K3" s="23" t="s">
        <v>303</v>
      </c>
      <c r="L3" s="35" t="s">
        <v>304</v>
      </c>
      <c r="M3" s="36" t="s">
        <v>305</v>
      </c>
      <c r="N3" s="36" t="s">
        <v>306</v>
      </c>
    </row>
    <row r="4" ht="27" customHeight="1" spans="1:14">
      <c r="A4" s="32" t="s">
        <v>271</v>
      </c>
      <c r="B4" s="23" t="s">
        <v>307</v>
      </c>
      <c r="C4" s="33" t="s">
        <v>74</v>
      </c>
      <c r="D4" s="33" t="s">
        <v>272</v>
      </c>
      <c r="E4" s="34" t="s">
        <v>273</v>
      </c>
      <c r="F4" s="33" t="s">
        <v>308</v>
      </c>
      <c r="G4" s="33" t="s">
        <v>309</v>
      </c>
      <c r="H4" s="33" t="s">
        <v>310</v>
      </c>
      <c r="I4" s="33" t="s">
        <v>227</v>
      </c>
      <c r="J4" s="23" t="s">
        <v>311</v>
      </c>
      <c r="K4" s="23" t="s">
        <v>164</v>
      </c>
      <c r="L4" s="35" t="s">
        <v>312</v>
      </c>
      <c r="M4" s="36" t="s">
        <v>313</v>
      </c>
      <c r="N4" s="36" t="s">
        <v>314</v>
      </c>
    </row>
    <row r="5" ht="14.25" spans="1:14">
      <c r="A5" s="37" t="s">
        <v>76</v>
      </c>
      <c r="B5" s="38" t="s">
        <v>76</v>
      </c>
      <c r="C5" s="38" t="s">
        <v>76</v>
      </c>
      <c r="D5" s="38" t="s">
        <v>232</v>
      </c>
      <c r="E5" s="39" t="s">
        <v>278</v>
      </c>
      <c r="F5" s="38" t="s">
        <v>278</v>
      </c>
      <c r="G5" s="38" t="s">
        <v>232</v>
      </c>
      <c r="H5" s="38" t="s">
        <v>232</v>
      </c>
      <c r="I5" s="38" t="s">
        <v>232</v>
      </c>
      <c r="J5" s="23" t="s">
        <v>315</v>
      </c>
      <c r="K5" s="23" t="s">
        <v>315</v>
      </c>
      <c r="L5" s="35" t="s">
        <v>76</v>
      </c>
      <c r="M5" s="36" t="s">
        <v>315</v>
      </c>
      <c r="N5" s="36" t="s">
        <v>315</v>
      </c>
    </row>
    <row r="6" ht="27" customHeight="1" spans="1:14">
      <c r="A6" s="18" t="s">
        <v>316</v>
      </c>
      <c r="B6" s="18" t="s">
        <v>317</v>
      </c>
      <c r="C6" s="40" t="s">
        <v>318</v>
      </c>
      <c r="D6" s="41">
        <v>1</v>
      </c>
      <c r="E6" s="42" t="s">
        <v>319</v>
      </c>
      <c r="F6" s="41" t="s">
        <v>144</v>
      </c>
      <c r="G6" s="41">
        <v>10000</v>
      </c>
      <c r="H6" s="41">
        <v>1</v>
      </c>
      <c r="I6" s="41">
        <v>300</v>
      </c>
    </row>
  </sheetData>
  <mergeCells count="1">
    <mergeCell ref="B1:I1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opLeftCell="A2" workbookViewId="0">
      <selection activeCell="E24" sqref="E24"/>
    </sheetView>
  </sheetViews>
  <sheetFormatPr defaultColWidth="9" defaultRowHeight="13.5"/>
  <cols>
    <col min="1" max="1" width="16.125" style="3" customWidth="1"/>
    <col min="2" max="2" width="9" style="3"/>
    <col min="3" max="3" width="44.125" style="4" customWidth="1"/>
    <col min="4" max="4" width="21.875" style="4" customWidth="1"/>
    <col min="5" max="8" width="9" style="3"/>
    <col min="9" max="9" width="16" style="3" customWidth="1"/>
    <col min="10" max="16384" width="9" style="3"/>
  </cols>
  <sheetData>
    <row r="1" spans="1:15">
      <c r="A1" s="5" t="s">
        <v>36</v>
      </c>
      <c r="B1" s="5" t="s">
        <v>15</v>
      </c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="2" customFormat="1" ht="104" customHeight="1" spans="1:15">
      <c r="A2" s="8" t="s">
        <v>320</v>
      </c>
      <c r="B2" s="8" t="s">
        <v>321</v>
      </c>
      <c r="C2" s="8" t="s">
        <v>322</v>
      </c>
      <c r="D2" s="8" t="s">
        <v>323</v>
      </c>
      <c r="E2" s="8" t="s">
        <v>324</v>
      </c>
      <c r="F2" s="8" t="s">
        <v>325</v>
      </c>
      <c r="G2" s="8" t="s">
        <v>326</v>
      </c>
      <c r="H2" s="8" t="s">
        <v>327</v>
      </c>
      <c r="I2" s="8" t="s">
        <v>328</v>
      </c>
      <c r="J2" s="8" t="s">
        <v>329</v>
      </c>
      <c r="K2" s="8" t="s">
        <v>330</v>
      </c>
      <c r="L2" s="8" t="s">
        <v>331</v>
      </c>
      <c r="M2" s="8" t="s">
        <v>332</v>
      </c>
      <c r="N2" s="8" t="s">
        <v>333</v>
      </c>
      <c r="O2" s="8" t="s">
        <v>50</v>
      </c>
    </row>
    <row r="3" spans="1:15">
      <c r="A3" s="5" t="s">
        <v>334</v>
      </c>
      <c r="B3" s="5" t="s">
        <v>335</v>
      </c>
      <c r="C3" s="5" t="s">
        <v>336</v>
      </c>
      <c r="D3" s="5" t="s">
        <v>337</v>
      </c>
      <c r="E3" s="5" t="s">
        <v>266</v>
      </c>
      <c r="F3" s="5" t="s">
        <v>338</v>
      </c>
      <c r="G3" s="5" t="s">
        <v>339</v>
      </c>
      <c r="H3" s="5" t="s">
        <v>340</v>
      </c>
      <c r="I3" s="5" t="s">
        <v>341</v>
      </c>
      <c r="J3" s="5" t="s">
        <v>342</v>
      </c>
      <c r="K3" s="5" t="s">
        <v>212</v>
      </c>
      <c r="L3" s="5" t="s">
        <v>343</v>
      </c>
      <c r="M3" s="5" t="s">
        <v>344</v>
      </c>
      <c r="N3" s="5" t="s">
        <v>345</v>
      </c>
      <c r="O3" s="5" t="s">
        <v>62</v>
      </c>
    </row>
    <row r="4" ht="16.5" customHeight="1" spans="1:15">
      <c r="A4" s="5" t="s">
        <v>346</v>
      </c>
      <c r="B4" s="5" t="s">
        <v>66</v>
      </c>
      <c r="C4" s="9" t="s">
        <v>67</v>
      </c>
      <c r="D4" s="9" t="s">
        <v>347</v>
      </c>
      <c r="E4" s="9" t="s">
        <v>273</v>
      </c>
      <c r="F4" s="9" t="s">
        <v>348</v>
      </c>
      <c r="G4" s="5" t="s">
        <v>349</v>
      </c>
      <c r="H4" s="5" t="s">
        <v>350</v>
      </c>
      <c r="I4" s="5" t="s">
        <v>351</v>
      </c>
      <c r="J4" s="5" t="s">
        <v>352</v>
      </c>
      <c r="K4" s="5" t="s">
        <v>227</v>
      </c>
      <c r="L4" s="5" t="s">
        <v>353</v>
      </c>
      <c r="M4" s="5" t="s">
        <v>354</v>
      </c>
      <c r="N4" s="5" t="s">
        <v>355</v>
      </c>
      <c r="O4" s="5" t="s">
        <v>75</v>
      </c>
    </row>
    <row r="5" ht="15" customHeight="1" spans="1:15">
      <c r="A5" s="5" t="s">
        <v>76</v>
      </c>
      <c r="B5" s="5" t="s">
        <v>76</v>
      </c>
      <c r="C5" s="10" t="s">
        <v>76</v>
      </c>
      <c r="D5" s="10" t="s">
        <v>278</v>
      </c>
      <c r="E5" s="10" t="s">
        <v>278</v>
      </c>
      <c r="F5" s="10" t="s">
        <v>76</v>
      </c>
      <c r="G5" s="5" t="s">
        <v>278</v>
      </c>
      <c r="H5" s="5" t="s">
        <v>278</v>
      </c>
      <c r="I5" s="5" t="s">
        <v>76</v>
      </c>
      <c r="J5" s="5" t="s">
        <v>76</v>
      </c>
      <c r="K5" s="5" t="s">
        <v>232</v>
      </c>
      <c r="L5" s="5" t="s">
        <v>232</v>
      </c>
      <c r="M5" s="5" t="s">
        <v>278</v>
      </c>
      <c r="N5" s="5" t="s">
        <v>76</v>
      </c>
      <c r="O5" s="5" t="s">
        <v>76</v>
      </c>
    </row>
    <row r="6" ht="15" customHeight="1" spans="1:15">
      <c r="A6" s="11" t="s">
        <v>356</v>
      </c>
      <c r="B6" s="11" t="s">
        <v>357</v>
      </c>
      <c r="C6" s="12" t="s">
        <v>358</v>
      </c>
      <c r="D6" s="12" t="s">
        <v>359</v>
      </c>
      <c r="E6" s="12" t="s">
        <v>360</v>
      </c>
      <c r="F6" s="12" t="s">
        <v>2</v>
      </c>
      <c r="G6" s="11" t="s">
        <v>361</v>
      </c>
      <c r="H6" s="11" t="s">
        <v>362</v>
      </c>
      <c r="I6" s="11" t="s">
        <v>363</v>
      </c>
      <c r="J6" s="11" t="s">
        <v>2</v>
      </c>
      <c r="K6" s="13">
        <v>0</v>
      </c>
      <c r="L6" s="13">
        <v>0</v>
      </c>
      <c r="M6" s="11" t="s">
        <v>2</v>
      </c>
      <c r="N6" s="14" t="s">
        <v>364</v>
      </c>
      <c r="O6" s="14" t="s">
        <v>365</v>
      </c>
    </row>
    <row r="7" ht="16.5" customHeight="1" spans="1:15">
      <c r="A7" s="11" t="s">
        <v>366</v>
      </c>
      <c r="B7" s="11" t="s">
        <v>367</v>
      </c>
      <c r="C7" s="15" t="s">
        <v>368</v>
      </c>
      <c r="D7" s="15" t="s">
        <v>369</v>
      </c>
      <c r="E7" s="15" t="s">
        <v>370</v>
      </c>
      <c r="F7" s="15" t="s">
        <v>371</v>
      </c>
      <c r="G7" s="11" t="s">
        <v>372</v>
      </c>
      <c r="H7" s="11" t="s">
        <v>373</v>
      </c>
      <c r="I7" s="11" t="s">
        <v>374</v>
      </c>
      <c r="J7" s="11" t="s">
        <v>2</v>
      </c>
      <c r="K7" s="13">
        <v>0</v>
      </c>
      <c r="L7" s="13">
        <v>99</v>
      </c>
      <c r="M7" s="11" t="s">
        <v>375</v>
      </c>
      <c r="N7" s="14" t="s">
        <v>376</v>
      </c>
      <c r="O7" s="14" t="s">
        <v>377</v>
      </c>
    </row>
    <row r="8" spans="1:15">
      <c r="A8" s="11" t="s">
        <v>378</v>
      </c>
      <c r="B8" s="11" t="s">
        <v>379</v>
      </c>
      <c r="C8" s="11" t="s">
        <v>380</v>
      </c>
      <c r="D8" s="11" t="s">
        <v>381</v>
      </c>
      <c r="E8" s="11" t="s">
        <v>382</v>
      </c>
      <c r="F8" s="11" t="s">
        <v>383</v>
      </c>
      <c r="G8" s="11" t="s">
        <v>384</v>
      </c>
      <c r="H8" s="11" t="s">
        <v>362</v>
      </c>
      <c r="I8" s="11" t="s">
        <v>385</v>
      </c>
      <c r="J8" s="11" t="s">
        <v>2</v>
      </c>
      <c r="K8" s="13">
        <v>0</v>
      </c>
      <c r="L8" s="13">
        <v>1</v>
      </c>
      <c r="M8" s="11" t="s">
        <v>375</v>
      </c>
      <c r="N8" s="14" t="s">
        <v>386</v>
      </c>
      <c r="O8" s="14" t="s">
        <v>387</v>
      </c>
    </row>
    <row r="9" spans="1:15">
      <c r="A9" s="11" t="s">
        <v>388</v>
      </c>
      <c r="B9" s="11" t="s">
        <v>389</v>
      </c>
      <c r="C9" s="11" t="s">
        <v>390</v>
      </c>
      <c r="D9" s="11" t="s">
        <v>359</v>
      </c>
      <c r="E9" s="11" t="s">
        <v>360</v>
      </c>
      <c r="F9" s="11" t="s">
        <v>2</v>
      </c>
      <c r="G9" s="11" t="s">
        <v>361</v>
      </c>
      <c r="H9" s="11" t="s">
        <v>362</v>
      </c>
      <c r="I9" s="11" t="s">
        <v>391</v>
      </c>
      <c r="J9" s="11" t="s">
        <v>2</v>
      </c>
      <c r="K9" s="13">
        <v>0</v>
      </c>
      <c r="L9" s="13">
        <v>0</v>
      </c>
      <c r="M9" s="11" t="s">
        <v>2</v>
      </c>
      <c r="N9" s="14" t="s">
        <v>392</v>
      </c>
      <c r="O9" s="14" t="s">
        <v>393</v>
      </c>
    </row>
    <row r="10" spans="1:15">
      <c r="A10" s="11" t="s">
        <v>394</v>
      </c>
      <c r="B10" s="11" t="s">
        <v>395</v>
      </c>
      <c r="C10" s="11" t="s">
        <v>396</v>
      </c>
      <c r="D10" s="11" t="s">
        <v>381</v>
      </c>
      <c r="E10" s="11" t="s">
        <v>397</v>
      </c>
      <c r="F10" s="11" t="s">
        <v>398</v>
      </c>
      <c r="G10" s="11" t="s">
        <v>399</v>
      </c>
      <c r="H10" s="11" t="s">
        <v>400</v>
      </c>
      <c r="I10" s="11" t="s">
        <v>401</v>
      </c>
      <c r="J10" s="11" t="s">
        <v>402</v>
      </c>
      <c r="K10" s="13">
        <v>3000</v>
      </c>
      <c r="L10" s="13">
        <v>1</v>
      </c>
      <c r="M10" s="11" t="s">
        <v>2</v>
      </c>
      <c r="N10" s="14" t="s">
        <v>403</v>
      </c>
      <c r="O10" s="14" t="s">
        <v>404</v>
      </c>
    </row>
    <row r="11" spans="1:15">
      <c r="A11" s="11" t="s">
        <v>405</v>
      </c>
      <c r="B11" s="11" t="s">
        <v>406</v>
      </c>
      <c r="C11" s="11" t="s">
        <v>407</v>
      </c>
      <c r="D11" s="11" t="s">
        <v>369</v>
      </c>
      <c r="E11" s="11" t="s">
        <v>370</v>
      </c>
      <c r="F11" s="11" t="s">
        <v>408</v>
      </c>
      <c r="G11" s="11" t="s">
        <v>372</v>
      </c>
      <c r="H11" s="11" t="s">
        <v>373</v>
      </c>
      <c r="I11" s="11" t="s">
        <v>409</v>
      </c>
      <c r="J11" s="11" t="s">
        <v>2</v>
      </c>
      <c r="K11" s="13">
        <v>0</v>
      </c>
      <c r="L11" s="13">
        <v>0</v>
      </c>
      <c r="M11" s="11" t="s">
        <v>2</v>
      </c>
      <c r="N11" s="14" t="s">
        <v>410</v>
      </c>
      <c r="O11" s="14" t="s">
        <v>411</v>
      </c>
    </row>
    <row r="12" spans="1:15">
      <c r="A12" s="11" t="s">
        <v>412</v>
      </c>
      <c r="B12" s="11" t="s">
        <v>413</v>
      </c>
      <c r="C12" s="11" t="s">
        <v>414</v>
      </c>
      <c r="D12" s="11" t="s">
        <v>359</v>
      </c>
      <c r="E12" s="11" t="s">
        <v>415</v>
      </c>
      <c r="F12" s="11" t="s">
        <v>416</v>
      </c>
      <c r="G12" s="11" t="s">
        <v>361</v>
      </c>
      <c r="H12" s="11" t="s">
        <v>362</v>
      </c>
      <c r="I12" s="11" t="s">
        <v>417</v>
      </c>
      <c r="J12" s="11" t="s">
        <v>2</v>
      </c>
      <c r="K12" s="13">
        <v>0</v>
      </c>
      <c r="L12" s="13">
        <v>0</v>
      </c>
      <c r="M12" s="11" t="s">
        <v>2</v>
      </c>
      <c r="N12" s="14" t="s">
        <v>418</v>
      </c>
      <c r="O12" s="14" t="s">
        <v>419</v>
      </c>
    </row>
    <row r="13" spans="1:15">
      <c r="A13" s="11" t="s">
        <v>420</v>
      </c>
      <c r="B13" s="11" t="s">
        <v>421</v>
      </c>
      <c r="C13" s="11" t="s">
        <v>422</v>
      </c>
      <c r="D13" s="11" t="s">
        <v>381</v>
      </c>
      <c r="E13" s="11" t="s">
        <v>397</v>
      </c>
      <c r="F13" s="11" t="s">
        <v>2</v>
      </c>
      <c r="G13" s="11" t="s">
        <v>384</v>
      </c>
      <c r="H13" s="11" t="s">
        <v>362</v>
      </c>
      <c r="I13" s="11" t="s">
        <v>423</v>
      </c>
      <c r="J13" s="11" t="s">
        <v>424</v>
      </c>
      <c r="K13" s="13">
        <v>0</v>
      </c>
      <c r="L13" s="13">
        <v>3</v>
      </c>
      <c r="M13" s="11" t="s">
        <v>375</v>
      </c>
      <c r="N13" s="14" t="s">
        <v>425</v>
      </c>
      <c r="O13" s="14" t="s">
        <v>426</v>
      </c>
    </row>
    <row r="14" spans="1:15">
      <c r="A14" s="16"/>
      <c r="B14" s="16"/>
      <c r="C14" s="17"/>
      <c r="D14" s="17"/>
      <c r="E14" s="16"/>
      <c r="F14" s="16"/>
      <c r="G14" s="16"/>
      <c r="H14" s="16"/>
      <c r="I14" s="16"/>
      <c r="J14" s="16"/>
      <c r="K14" s="16"/>
      <c r="L14" s="16"/>
      <c r="M14" s="16"/>
    </row>
    <row r="15" spans="1:15">
      <c r="A15" s="16"/>
      <c r="B15" s="16"/>
      <c r="C15" s="17"/>
      <c r="D15" s="17"/>
      <c r="E15" s="16"/>
      <c r="F15" s="16"/>
      <c r="G15" s="16"/>
      <c r="H15" s="16"/>
      <c r="I15" s="16"/>
      <c r="J15" s="16"/>
      <c r="K15" s="16"/>
      <c r="L15" s="16"/>
      <c r="M15" s="16"/>
    </row>
    <row r="16" spans="1:15">
      <c r="A16" s="16"/>
      <c r="B16" s="16"/>
      <c r="C16" s="17"/>
      <c r="D16" s="17"/>
      <c r="E16" s="16"/>
      <c r="F16" s="16"/>
      <c r="G16" s="16"/>
      <c r="H16" s="16"/>
      <c r="I16" s="16"/>
      <c r="J16" s="16"/>
      <c r="K16" s="16"/>
      <c r="L16" s="16"/>
      <c r="M16" s="16"/>
    </row>
    <row r="17" spans="1:13">
      <c r="A17" s="16"/>
      <c r="B17" s="16"/>
      <c r="C17" s="17"/>
      <c r="D17" s="17"/>
      <c r="E17" s="16"/>
      <c r="F17" s="16"/>
      <c r="G17" s="16"/>
      <c r="H17" s="16"/>
      <c r="I17" s="16"/>
      <c r="J17" s="16"/>
      <c r="K17" s="16"/>
      <c r="L17" s="16"/>
      <c r="M17" s="16"/>
    </row>
    <row r="18" spans="1:13">
      <c r="A18" s="16"/>
      <c r="B18" s="16"/>
      <c r="C18" s="17"/>
      <c r="D18" s="17"/>
      <c r="E18" s="16"/>
      <c r="F18" s="16"/>
      <c r="G18" s="16"/>
      <c r="H18" s="16"/>
      <c r="I18" s="16"/>
      <c r="J18" s="16"/>
      <c r="K18" s="16"/>
      <c r="L18" s="16"/>
      <c r="M18" s="16"/>
    </row>
    <row r="19" spans="1:13">
      <c r="A19" s="16"/>
      <c r="B19" s="16"/>
      <c r="C19" s="17"/>
      <c r="D19" s="17"/>
      <c r="E19" s="16"/>
      <c r="F19" s="16"/>
      <c r="G19" s="16"/>
      <c r="H19" s="16"/>
      <c r="I19" s="16"/>
      <c r="J19" s="16"/>
      <c r="K19" s="16"/>
      <c r="L19" s="16"/>
      <c r="M19" s="16"/>
    </row>
    <row r="20" spans="1:13">
      <c r="A20" s="16"/>
      <c r="B20" s="16"/>
      <c r="C20" s="17"/>
      <c r="D20" s="17"/>
      <c r="E20" s="16"/>
      <c r="F20" s="16"/>
      <c r="G20" s="16"/>
      <c r="H20" s="16"/>
      <c r="I20" s="16"/>
      <c r="J20" s="16"/>
      <c r="K20" s="16"/>
      <c r="L20" s="16"/>
      <c r="M20" s="16"/>
    </row>
    <row r="21" spans="1:13">
      <c r="A21" s="16"/>
      <c r="B21" s="16"/>
      <c r="C21" s="17"/>
      <c r="D21" s="17"/>
      <c r="E21" s="16"/>
      <c r="F21" s="16"/>
      <c r="G21" s="16"/>
      <c r="H21" s="16"/>
      <c r="I21" s="16"/>
      <c r="J21" s="16"/>
      <c r="K21" s="16"/>
      <c r="L21" s="16"/>
      <c r="M21" s="16"/>
    </row>
    <row r="22" spans="1:13">
      <c r="A22" s="16"/>
      <c r="B22" s="16"/>
      <c r="C22" s="17"/>
      <c r="D22" s="17"/>
      <c r="E22" s="16"/>
      <c r="F22" s="16"/>
      <c r="G22" s="16"/>
      <c r="H22" s="16"/>
      <c r="I22" s="16"/>
      <c r="J22" s="16"/>
      <c r="K22" s="16"/>
      <c r="L22" s="16"/>
      <c r="M22" s="16"/>
    </row>
    <row r="23" spans="1:13">
      <c r="A23" s="16"/>
      <c r="B23" s="16"/>
      <c r="C23" s="17"/>
      <c r="D23" s="17"/>
      <c r="E23" s="16"/>
      <c r="F23" s="16"/>
      <c r="G23" s="16"/>
      <c r="H23" s="16"/>
      <c r="I23" s="16"/>
      <c r="J23" s="16"/>
      <c r="K23" s="16"/>
      <c r="L23" s="16"/>
      <c r="M23" s="16"/>
    </row>
    <row r="24" spans="1:13">
      <c r="A24" s="16"/>
      <c r="B24" s="16"/>
      <c r="C24" s="17"/>
      <c r="D24" s="17"/>
      <c r="E24" s="16"/>
      <c r="F24" s="16"/>
      <c r="G24" s="16"/>
      <c r="H24" s="16"/>
      <c r="I24" s="16"/>
      <c r="J24" s="16"/>
      <c r="K24" s="16"/>
      <c r="L24" s="16"/>
      <c r="M24" s="16"/>
    </row>
    <row r="25" spans="1:13">
      <c r="A25" s="16"/>
      <c r="B25" s="16"/>
      <c r="C25" s="17"/>
      <c r="D25" s="17"/>
      <c r="E25" s="16"/>
      <c r="F25" s="16"/>
      <c r="G25" s="16"/>
      <c r="H25" s="16"/>
      <c r="I25" s="16"/>
      <c r="J25" s="16"/>
      <c r="K25" s="16"/>
      <c r="L25" s="16"/>
      <c r="M25" s="16"/>
    </row>
    <row r="26" spans="1:13">
      <c r="A26" s="16"/>
      <c r="B26" s="16"/>
      <c r="C26" s="17"/>
      <c r="D26" s="17"/>
      <c r="E26" s="16"/>
      <c r="F26" s="16"/>
      <c r="G26" s="16"/>
      <c r="H26" s="16"/>
      <c r="I26" s="16"/>
      <c r="J26" s="16"/>
      <c r="K26" s="16"/>
      <c r="L26" s="16"/>
      <c r="M26" s="16"/>
    </row>
    <row r="27" spans="1:13">
      <c r="A27" s="16"/>
      <c r="B27" s="16"/>
      <c r="C27" s="17"/>
      <c r="D27" s="17"/>
      <c r="E27" s="16"/>
      <c r="F27" s="16"/>
      <c r="G27" s="16"/>
      <c r="H27" s="16"/>
      <c r="I27" s="16"/>
      <c r="J27" s="16"/>
      <c r="K27" s="16"/>
      <c r="L27" s="16"/>
      <c r="M27" s="16"/>
    </row>
    <row r="28" spans="1:13">
      <c r="A28" s="16"/>
      <c r="B28" s="16"/>
      <c r="C28" s="17"/>
      <c r="D28" s="17"/>
      <c r="E28" s="16"/>
      <c r="F28" s="16"/>
      <c r="G28" s="16"/>
      <c r="H28" s="16"/>
      <c r="I28" s="16"/>
      <c r="J28" s="16"/>
      <c r="K28" s="16"/>
      <c r="L28" s="16"/>
      <c r="M28" s="16"/>
    </row>
    <row r="29" spans="1:13">
      <c r="A29" s="16"/>
      <c r="B29" s="16"/>
      <c r="C29" s="17"/>
      <c r="D29" s="17"/>
      <c r="E29" s="16"/>
      <c r="F29" s="16"/>
      <c r="G29" s="16"/>
      <c r="H29" s="16"/>
      <c r="I29" s="16"/>
      <c r="J29" s="16"/>
      <c r="K29" s="16"/>
      <c r="L29" s="16"/>
      <c r="M29" s="16"/>
    </row>
    <row r="30" spans="1:13">
      <c r="A30" s="16"/>
      <c r="B30" s="16"/>
      <c r="C30" s="17"/>
      <c r="D30" s="17"/>
      <c r="E30" s="16"/>
      <c r="F30" s="16"/>
      <c r="G30" s="16"/>
      <c r="H30" s="16"/>
      <c r="I30" s="16"/>
      <c r="J30" s="16"/>
      <c r="K30" s="16"/>
      <c r="L30" s="16"/>
      <c r="M30" s="16"/>
    </row>
    <row r="31" spans="1:13">
      <c r="A31" s="16"/>
      <c r="B31" s="16"/>
      <c r="C31" s="17"/>
      <c r="D31" s="17"/>
      <c r="E31" s="16"/>
      <c r="F31" s="16"/>
      <c r="G31" s="16"/>
      <c r="H31" s="16"/>
      <c r="I31" s="16"/>
      <c r="J31" s="16"/>
      <c r="K31" s="16"/>
      <c r="L31" s="16"/>
      <c r="M31" s="16"/>
    </row>
    <row r="32" spans="1:13">
      <c r="A32" s="16"/>
      <c r="B32" s="16"/>
      <c r="C32" s="17"/>
      <c r="D32" s="17"/>
      <c r="E32" s="16"/>
      <c r="F32" s="16"/>
      <c r="G32" s="16"/>
      <c r="H32" s="16"/>
      <c r="I32" s="16"/>
      <c r="J32" s="16"/>
      <c r="K32" s="16"/>
      <c r="L32" s="16"/>
      <c r="M32" s="16"/>
    </row>
    <row r="33" spans="1:13">
      <c r="A33" s="16"/>
      <c r="B33" s="16"/>
      <c r="C33" s="17"/>
      <c r="D33" s="17"/>
      <c r="E33" s="16"/>
      <c r="F33" s="16"/>
      <c r="G33" s="16"/>
      <c r="H33" s="16"/>
      <c r="I33" s="16"/>
      <c r="J33" s="16"/>
      <c r="K33" s="16"/>
      <c r="L33" s="16"/>
      <c r="M33" s="16"/>
    </row>
    <row r="34" spans="1:13">
      <c r="A34" s="16"/>
      <c r="B34" s="16"/>
      <c r="C34" s="17"/>
      <c r="D34" s="17"/>
      <c r="E34" s="16"/>
      <c r="F34" s="16"/>
      <c r="G34" s="16"/>
      <c r="H34" s="16"/>
      <c r="I34" s="16"/>
      <c r="J34" s="16"/>
      <c r="K34" s="16"/>
      <c r="L34" s="16"/>
      <c r="M34" s="16"/>
    </row>
    <row r="35" spans="1:13">
      <c r="A35" s="16"/>
      <c r="B35" s="16"/>
      <c r="C35" s="17"/>
      <c r="D35" s="17"/>
      <c r="E35" s="16"/>
      <c r="F35" s="16"/>
      <c r="G35" s="16"/>
      <c r="H35" s="16"/>
      <c r="I35" s="16"/>
      <c r="J35" s="16"/>
      <c r="K35" s="16"/>
      <c r="L35" s="16"/>
      <c r="M35" s="16"/>
    </row>
    <row r="36" spans="1:13">
      <c r="A36" s="16"/>
      <c r="B36" s="16"/>
      <c r="C36" s="17"/>
      <c r="D36" s="17"/>
      <c r="E36" s="16"/>
      <c r="F36" s="16"/>
      <c r="G36" s="16"/>
      <c r="H36" s="16"/>
      <c r="I36" s="16"/>
      <c r="J36" s="16"/>
      <c r="K36" s="16"/>
      <c r="L36" s="16"/>
      <c r="M36" s="16"/>
    </row>
    <row r="37" spans="1:13">
      <c r="A37" s="16"/>
      <c r="B37" s="16"/>
      <c r="C37" s="17"/>
      <c r="D37" s="17"/>
      <c r="E37" s="16"/>
      <c r="F37" s="16"/>
      <c r="G37" s="16"/>
      <c r="H37" s="16"/>
      <c r="I37" s="16"/>
      <c r="J37" s="16"/>
      <c r="K37" s="16"/>
      <c r="L37" s="16"/>
      <c r="M37" s="16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zoomScale="115" zoomScaleNormal="115" workbookViewId="0">
      <selection activeCell="G16" sqref="G16"/>
    </sheetView>
  </sheetViews>
  <sheetFormatPr defaultColWidth="9" defaultRowHeight="13.5" outlineLevelCol="3"/>
  <sheetData>
    <row r="1" ht="16.5" spans="1:4">
      <c r="A1" s="1" t="s">
        <v>427</v>
      </c>
      <c r="B1" s="1" t="s">
        <v>428</v>
      </c>
      <c r="C1" s="1" t="s">
        <v>429</v>
      </c>
      <c r="D1" s="1" t="s">
        <v>430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技能表说明</vt:lpstr>
      <vt:lpstr>skill</vt:lpstr>
      <vt:lpstr>skillArt</vt:lpstr>
      <vt:lpstr>skillParam</vt:lpstr>
      <vt:lpstr>skillTrig</vt:lpstr>
      <vt:lpstr>skillBuff</vt:lpstr>
      <vt:lpstr>skillPas</vt:lpstr>
      <vt:lpstr>参数备注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Saic丶</cp:lastModifiedBy>
  <dcterms:created xsi:type="dcterms:W3CDTF">2023-05-12T11:15:00Z</dcterms:created>
  <dcterms:modified xsi:type="dcterms:W3CDTF">2026-05-29T09:03:06Z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301CC8BAB3804A5FA6C9A872E1CD7851_12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